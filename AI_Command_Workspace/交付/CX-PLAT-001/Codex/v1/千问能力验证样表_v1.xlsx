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4eae23d3b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能力验证" sheetId="1" r:id="R79434934b161441b"/>
    <x:sheet xmlns:r="http://schemas.openxmlformats.org/officeDocument/2006/relationships" name="虚构输入" sheetId="2" r:id="Rcec35d06d38441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;(0.00);0.00"/>
    <x:numFmt numFmtId="201" formatCode="0"/>
    <x:numFmt numFmtId="202" formatCode="0.000000"/>
    <x:numFmt numFmtId="203" formatCode="0.00"/>
  </x:numFmts>
  <x:fonts count="5">
    <x:font>
      <x:sz val="11"/>
      <x:name val="Carlito"/>
    </x:font>
    <x:font>
      <x:sz val="11"/>
      <x:color rgb="FF202B3C"/>
      <x:name val="Arial"/>
    </x:font>
    <x:font>
      <x:b/>
      <x:sz val="15"/>
      <x:color rgb="FF202B3C"/>
      <x:name val="Arial"/>
    </x:font>
    <x:font>
      <x:sz val="11"/>
      <x:color rgb="FF0000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9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ffab9004c4ebe" /><Relationship Type="http://schemas.openxmlformats.org/officeDocument/2006/relationships/theme" Target="/xl/theme/theme1.xml" Id="R08cb47e617c2460c" /><Relationship Type="http://schemas.openxmlformats.org/officeDocument/2006/relationships/sharedStrings" Target="/xl/sharedStrings.xml" Id="R0d08f0172dd64733" /><Relationship Type="http://schemas.openxmlformats.org/officeDocument/2006/relationships/worksheet" Target="/xl/worksheets/sheet1.xml" Id="R79434934b161441b" /><Relationship Type="http://schemas.openxmlformats.org/officeDocument/2006/relationships/worksheet" Target="/xl/worksheets/sheet2.xml" Id="Rcec35d06d38441ed" /></Relationships>
</file>

<file path=xl/tables/table1.xml><?xml version="1.0" encoding="utf-8"?>
<x:table xmlns:x="http://schemas.openxmlformats.org/spreadsheetml/2006/main" id="1" name="SyntheticInputs" displayName="SyntheticInputs" ref="B5:G11" headerRowCount="1" totalsRowCount="0" totalsRowShown="0">
  <x:tableColumns count="6">
    <x:tableColumn id="1" name="单据号"/>
    <x:tableColumn id="2" name="客户"/>
    <x:tableColumn id="3" name="流入（万元）"/>
    <x:tableColumn id="4" name="流出（万元）"/>
    <x:tableColumn id="5" name="净额（万元）"/>
    <x:tableColumn id="6" name="缺值测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8f6cd553154e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55" hidden="0" customWidth="1"/>
  </x:cols>
  <x:sheetData>
    <x:row r="2" ht="25" customHeight="1">
      <x:c r="B2" s="2" t="str">
        <x:v>千问办公能力验证样表</x:v>
      </x:c>
      <x:c r="C2" s="1"/>
      <x:c r="D2" s="1"/>
      <x:c r="E2" s="1"/>
      <x:c r="F2" s="1"/>
      <x:c r="G2" s="1"/>
    </x:row>
    <x:row r="3" ht="25" customHeight="1">
      <x:c r="B3" s="1" t="str">
        <x:v>先导入，再改变输入并保存重开；本地预计算不能证明千问已执行。</x:v>
      </x:c>
      <x:c r="C3" s="1"/>
      <x:c r="D3" s="1"/>
      <x:c r="E3" s="1"/>
      <x:c r="F3" s="1"/>
      <x:c r="G3" s="1"/>
    </x:row>
    <x:row r="4" ht="25" customHeight="1">
      <x:c r="B4" s="1" t="str">
        <x:v>黄色E列由测试者填写千问实测结果；D列是独立预期值。</x:v>
      </x:c>
      <x:c r="C4" s="1"/>
      <x:c r="D4" s="1"/>
      <x:c r="E4" s="1"/>
      <x:c r="F4" s="1"/>
      <x:c r="G4" s="1"/>
    </x:row>
    <x:row r="5" ht="25" customHeight="1">
      <x:c r="B5" s="7" t="str">
        <x:v>测试项</x:v>
      </x:c>
      <x:c r="C5" s="7" t="str">
        <x:v>本地预计算</x:v>
      </x:c>
      <x:c r="D5" s="7" t="str">
        <x:v>独立预期</x:v>
      </x:c>
      <x:c r="E5" s="7" t="str">
        <x:v>千问实测（填写）</x:v>
      </x:c>
      <x:c r="F5" s="7" t="str">
        <x:v>实测对照</x:v>
      </x:c>
      <x:c r="G5" s="7" t="str">
        <x:v>检查方法</x:v>
      </x:c>
    </x:row>
    <x:row r="6" ht="25" customHeight="1">
      <x:c r="B6" s="1" t="str">
        <x:v>SUM</x:v>
      </x:c>
      <x:c r="C6" s="8" t="n">
        <x:f>SUM('虚构输入'!D6:D11)</x:f>
        <x:v>130</x:v>
      </x:c>
      <x:c r="D6" s="8" t="n">
        <x:v>130</x:v>
      </x:c>
      <x:c r="E6" s="12"/>
      <x:c r="F6" s="1" t="str">
        <x:f>IF(AND(NOT(ISNUMBER(E6)),E6=""),"未执行",IF(ISNUMBER(D6),IF(ISNUMBER(E6),IF(ABS(E6-D6)&lt;0.000001,"一致","不一致"),"类型不符"),IF(E6=D6,"一致","不一致")))</x:f>
        <x:v>未执行</x:v>
      </x:c>
      <x:c r="G6" s="1" t="str">
        <x:v>流入合计；把D6从10改为11应变131</x:v>
      </x:c>
    </x:row>
    <x:row r="7" ht="25" customHeight="1">
      <x:c r="B7" s="1" t="str">
        <x:v>AVERAGE</x:v>
      </x:c>
      <x:c r="C7" s="9" t="n">
        <x:f>AVERAGE('虚构输入'!E6:E11)</x:f>
        <x:v>11.833333333333334</x:v>
      </x:c>
      <x:c r="D7" s="9" t="n">
        <x:v>11.833333333333334</x:v>
      </x:c>
      <x:c r="E7" s="12"/>
      <x:c r="F7" s="1" t="str">
        <x:f>IF(AND(NOT(ISNUMBER(E7)),E7=""),"未执行",IF(ISNUMBER(D7),IF(ISNUMBER(E7),IF(ABS(E7-D7)&lt;0.000001,"一致","不一致"),"类型不符"),IF(E7=D7,"一致","不一致")))</x:f>
        <x:v>未执行</x:v>
      </x:c>
      <x:c r="G7" s="1" t="str">
        <x:v>六条流出的算术平均</x:v>
      </x:c>
    </x:row>
    <x:row r="8" ht="25" customHeight="1">
      <x:c r="B8" s="1" t="str">
        <x:v>SUMPRODUCT</x:v>
      </x:c>
      <x:c r="C8" s="8" t="n">
        <x:f>SUMPRODUCT('虚构输入'!D6:D11,'虚构输入'!E6:E11)</x:f>
        <x:v>1820</x:v>
      </x:c>
      <x:c r="D8" s="8" t="n">
        <x:v>1820</x:v>
      </x:c>
      <x:c r="E8" s="12"/>
      <x:c r="F8" s="1" t="str">
        <x:f>IF(AND(NOT(ISNUMBER(E8)),E8=""),"未执行",IF(ISNUMBER(D8),IF(ISNUMBER(E8),IF(ABS(E8-D8)&lt;0.000001,"一致","不一致"),"类型不符"),IF(E8=D8,"一致","不一致")))</x:f>
        <x:v>未执行</x:v>
      </x:c>
      <x:c r="G8" s="1" t="str">
        <x:v>仅测试函数，非正式财务指标</x:v>
      </x:c>
    </x:row>
    <x:row r="9" ht="25" customHeight="1">
      <x:c r="B9" s="1" t="str">
        <x:v>COUNTIF</x:v>
      </x:c>
      <x:c r="C9" s="8" t="n">
        <x:f>COUNTIF('虚构输入'!C6:C11,"甲")</x:f>
        <x:v>2</x:v>
      </x:c>
      <x:c r="D9" s="8" t="n">
        <x:v>2</x:v>
      </x:c>
      <x:c r="E9" s="12"/>
      <x:c r="F9" s="1" t="str">
        <x:f>IF(AND(NOT(ISNUMBER(E9)),E9=""),"未执行",IF(ISNUMBER(D9),IF(ISNUMBER(E9),IF(ABS(E9-D9)&lt;0.000001,"一致","不一致"),"类型不符"),IF(E9=D9,"一致","不一致")))</x:f>
        <x:v>未执行</x:v>
      </x:c>
      <x:c r="G9" s="1" t="str">
        <x:v>客户甲出现2次</x:v>
      </x:c>
    </x:row>
    <x:row r="10" ht="25" customHeight="1">
      <x:c r="B10" s="1" t="str">
        <x:v>INDEX/MATCH</x:v>
      </x:c>
      <x:c r="C10" s="8" t="n">
        <x:f>INDEX('虚构输入'!D6:D11,MATCH("DEMO003",'虚构输入'!B6:B11,0))</x:f>
        <x:v>30</x:v>
      </x:c>
      <x:c r="D10" s="8" t="n">
        <x:v>30</x:v>
      </x:c>
      <x:c r="E10" s="12"/>
      <x:c r="F10" s="1" t="str">
        <x:f>IF(AND(NOT(ISNUMBER(E10)),E10=""),"未执行",IF(ISNUMBER(D10),IF(ISNUMBER(E10),IF(ABS(E10-D10)&lt;0.000001,"一致","不一致"),"类型不符"),IF(E10=D10,"一致","不一致")))</x:f>
        <x:v>未执行</x:v>
      </x:c>
      <x:c r="G10" s="1" t="str">
        <x:v>精确匹配DEMO003</x:v>
      </x:c>
    </x:row>
    <x:row r="11" ht="25" customHeight="1">
      <x:c r="B11" s="1" t="str">
        <x:v>DATE/MONTH</x:v>
      </x:c>
      <x:c r="C11" s="8" t="n">
        <x:f>MONTH(DATE(2026,2,28))</x:f>
        <x:v>2</x:v>
      </x:c>
      <x:c r="D11" s="8" t="n">
        <x:v>2</x:v>
      </x:c>
      <x:c r="E11" s="12"/>
      <x:c r="F11" s="1" t="str">
        <x:f>IF(AND(NOT(ISNUMBER(E11)),E11=""),"未执行",IF(ISNUMBER(D11),IF(ISNUMBER(E11),IF(ABS(E11-D11)&lt;0.000001,"一致","不一致"),"类型不符"),IF(E11=D11,"一致","不一致")))</x:f>
        <x:v>未执行</x:v>
      </x:c>
      <x:c r="G11" s="1" t="str">
        <x:v>构造日期后读取月份</x:v>
      </x:c>
    </x:row>
    <x:row r="12" ht="25" customHeight="1">
      <x:c r="B12" s="1" t="str">
        <x:v>日期进位回验</x:v>
      </x:c>
      <x:c r="C12" s="8" t="str">
        <x:f>IF(AND(YEAR(DATE(2026,13,5))=2026,MONTH(DATE(2026,13,5))=13,DAY(DATE(2026,13,5))=5),"有效日期","非法日期")</x:f>
        <x:v>非法日期</x:v>
      </x:c>
      <x:c r="D12" s="8" t="str">
        <x:v>非法日期</x:v>
      </x:c>
      <x:c r="E12" s="12"/>
      <x:c r="F12" s="1" t="str">
        <x:f>IF(AND(NOT(ISNUMBER(E12)),E12=""),"未执行",IF(ISNUMBER(D12),IF(ISNUMBER(E12),IF(ABS(E12-D12)&lt;0.000001,"一致","不一致"),"类型不符"),IF(E12=D12,"一致","不一致")))</x:f>
        <x:v>未执行</x:v>
      </x:c>
      <x:c r="G12" s="1" t="str">
        <x:v>13月不能被DATE自动进位当成合法原日期</x:v>
      </x:c>
    </x:row>
    <x:row r="13" ht="25" customHeight="1">
      <x:c r="B13" s="1" t="str">
        <x:v>TEXT</x:v>
      </x:c>
      <x:c r="C13" s="8" t="str">
        <x:f>TEXT(DATE(2026,1,31),"yyyy-mm-dd")</x:f>
        <x:v>2026-01-31</x:v>
      </x:c>
      <x:c r="D13" s="8" t="str">
        <x:v>2026-01-31</x:v>
      </x:c>
      <x:c r="E13" s="12"/>
      <x:c r="F13" s="1" t="str">
        <x:f>IF(AND(NOT(ISNUMBER(E13)),E13=""),"未执行",IF(ISNUMBER(D13),IF(ISNUMBER(E13),IF(ABS(E13-D13)&lt;0.000001,"一致","不一致"),"类型不符"),IF(E13=D13,"一致","不一致")))</x:f>
        <x:v>未执行</x:v>
      </x:c>
      <x:c r="G13" s="1" t="str">
        <x:v>输出文本必须完全一致</x:v>
      </x:c>
    </x:row>
    <x:row r="14" ht="25" customHeight="1">
      <x:c r="B14" s="1" t="str">
        <x:v>ISNUMBER</x:v>
      </x:c>
      <x:c r="C14" s="8" t="str">
        <x:f>IF(ISNUMBER('虚构输入'!D6),"数值","非数值")</x:f>
        <x:v>数值</x:v>
      </x:c>
      <x:c r="D14" s="8" t="str">
        <x:v>数值</x:v>
      </x:c>
      <x:c r="E14" s="12"/>
      <x:c r="F14" s="1" t="str">
        <x:f>IF(AND(NOT(ISNUMBER(E14)),E14=""),"未执行",IF(ISNUMBER(D14),IF(ISNUMBER(E14),IF(ABS(E14-D14)&lt;0.000001,"一致","不一致"),"类型不符"),IF(E14=D14,"一致","不一致")))</x:f>
        <x:v>未执行</x:v>
      </x:c>
      <x:c r="G14" s="1" t="str">
        <x:v>确认导入后金额未变文本</x:v>
      </x:c>
    </x:row>
    <x:row r="15" ht="25" customHeight="1">
      <x:c r="B15" s="1" t="str">
        <x:v>PERCENTILE</x:v>
      </x:c>
      <x:c r="C15" s="10" t="n">
        <x:f>PERCENTILE('虚构输入'!E6:E11,0.25)</x:f>
        <x:v>8.25</x:v>
      </x:c>
      <x:c r="D15" s="10" t="n">
        <x:v>8.25</x:v>
      </x:c>
      <x:c r="E15" s="12"/>
      <x:c r="F15" s="1" t="str">
        <x:f>IF(AND(NOT(ISNUMBER(E15)),E15=""),"未执行",IF(ISNUMBER(D15),IF(ISNUMBER(E15),IF(ABS(E15-D15)&lt;0.000001,"一致","不一致"),"类型不符"),IF(E15=D15,"一致","不一致")))</x:f>
        <x:v>未执行</x:v>
      </x:c>
      <x:c r="G15" s="1" t="str">
        <x:v>25%分位数，使用含端点线性插值</x:v>
      </x:c>
    </x:row>
    <x:row r="16" ht="25" customHeight="1">
      <x:c r="B16" s="1" t="str">
        <x:v>空值保护</x:v>
      </x:c>
      <x:c r="C16" s="8" t="str">
        <x:f>IF(ISNUMBER('虚构输入'!G7),'虚构输入'!G7,IF('虚构输入'!G7="","缺少输入","非数值"))</x:f>
        <x:v>缺少输入</x:v>
      </x:c>
      <x:c r="D16" s="8" t="str">
        <x:v>缺少输入</x:v>
      </x:c>
      <x:c r="E16" s="12"/>
      <x:c r="F16" s="1" t="str">
        <x:f>IF(AND(NOT(ISNUMBER(E16)),E16=""),"未执行",IF(ISNUMBER(D16),IF(ISNUMBER(E16),IF(ABS(E16-D16)&lt;0.000001,"一致","不一致"),"类型不符"),IF(E16=D16,"一致","不一致")))</x:f>
        <x:v>未执行</x:v>
      </x:c>
      <x:c r="G16" s="1" t="str">
        <x:v>空值不能自动当真实0</x:v>
      </x:c>
    </x:row>
    <x:row r="17" ht="25" customHeight="1">
      <x:c r="B17" s="1" t="str">
        <x:v>保留真实零</x:v>
      </x:c>
      <x:c r="C17" s="8" t="n">
        <x:f>IF(ISNUMBER('虚构输入'!G6),'虚构输入'!G6,IF('虚构输入'!G6="","缺少输入","非数值"))</x:f>
        <x:v>0</x:v>
      </x:c>
      <x:c r="D17" s="8" t="n">
        <x:v>0</x:v>
      </x:c>
      <x:c r="E17" s="12"/>
      <x:c r="F17" s="1" t="str">
        <x:f>IF(AND(NOT(ISNUMBER(E17)),E17=""),"未执行",IF(ISNUMBER(D17),IF(ISNUMBER(E17),IF(ABS(E17-D17)&lt;0.000001,"一致","不一致"),"类型不符"),IF(E17=D17,"一致","不一致")))</x:f>
        <x:v>未执行</x:v>
      </x:c>
      <x:c r="G17" s="1" t="str">
        <x:v>G6是真实数字0，应保留</x:v>
      </x:c>
    </x:row>
    <x:row r="18" ht="25" customHeight="1">
      <x:c r="B18" s="1" t="str">
        <x:v>跨表净额汇总</x:v>
      </x:c>
      <x:c r="C18" s="8" t="n">
        <x:f>SUM('虚构输入'!F6:F11)</x:f>
        <x:v>59</x:v>
      </x:c>
      <x:c r="D18" s="8" t="n">
        <x:v>59</x:v>
      </x:c>
      <x:c r="E18" s="12"/>
      <x:c r="F18" s="1" t="str">
        <x:f>IF(AND(NOT(ISNUMBER(E18)),E18=""),"未执行",IF(ISNUMBER(D18),IF(ISNUMBER(E18),IF(ABS(E18-D18)&lt;0.000001,"一致","不一致"),"类型不符"),IF(E18=D18,"一致","不一致")))</x:f>
        <x:v>未执行</x:v>
      </x:c>
      <x:c r="G18" s="1" t="str">
        <x:v>逐行净额总和，输入改变应同步更新</x:v>
      </x:c>
    </x:row>
    <x:row r="19" ht="25" customHeight="1">
      <x:c r="B19" s="1"/>
      <x:c r="C19" s="1"/>
      <x:c r="D19" s="1"/>
      <x:c r="E19" s="1"/>
      <x:c r="F19" s="1"/>
      <x:c r="G19" s="1"/>
    </x:row>
    <x:row r="20" ht="25" customHeight="1">
      <x:c r="B20" s="1"/>
      <x:c r="C20" s="1"/>
      <x:c r="D20" s="1"/>
      <x:c r="E20" s="1"/>
      <x:c r="F20" s="1"/>
      <x:c r="G20" s="1"/>
    </x:row>
    <x:row r="21" ht="25" customHeight="1">
      <x:c r="B21" s="1" t="str">
        <x:v>动态函数：在千问空白区域手工试，未预先嵌入执行</x:v>
      </x:c>
      <x:c r="C21" s="1"/>
      <x:c r="D21" s="1"/>
      <x:c r="E21" s="1"/>
      <x:c r="F21" s="1"/>
      <x:c r="G21" s="1"/>
    </x:row>
    <x:row r="22" ht="25" customHeight="1">
      <x:c r="B22" s="7" t="str">
        <x:v>函数</x:v>
      </x:c>
      <x:c r="C22" s="7" t="str">
        <x:v>公式文本（可复制）</x:v>
      </x:c>
      <x:c r="D22" s="7"/>
      <x:c r="E22" s="7"/>
      <x:c r="F22" s="7"/>
      <x:c r="G22" s="7" t="str">
        <x:v>预期结果</x:v>
      </x:c>
    </x:row>
    <x:row r="23" ht="25" customHeight="1">
      <x:c r="B23" s="1" t="str">
        <x:v>FILTER</x:v>
      </x:c>
      <x:c r="C23" s="1" t="str">
        <x:v>=FILTER('虚构输入'!D6:D11,'虚构输入'!C6:C11="甲")</x:v>
      </x:c>
      <x:c r="D23" s="1"/>
      <x:c r="E23" s="1"/>
      <x:c r="F23" s="1"/>
      <x:c r="G23" s="1" t="str">
        <x:v>纵向得到10、20</x:v>
      </x:c>
    </x:row>
    <x:row r="24" ht="25" customHeight="1">
      <x:c r="B24" s="1" t="str">
        <x:v>UNIQUE</x:v>
      </x:c>
      <x:c r="C24" s="1" t="str">
        <x:v>=UNIQUE('虚构输入'!C6:C11)</x:v>
      </x:c>
      <x:c r="D24" s="1"/>
      <x:c r="E24" s="1"/>
      <x:c r="F24" s="1"/>
      <x:c r="G24" s="1" t="str">
        <x:v>纵向得到甲、乙、丙、丁</x:v>
      </x:c>
    </x:row>
    <x:row r="25" ht="25" customHeight="1">
      <x:c r="B25" s="1"/>
      <x:c r="C25" s="1"/>
      <x:c r="D25" s="1"/>
      <x:c r="E25" s="1"/>
      <x:c r="F25" s="1"/>
      <x:c r="G25" s="1"/>
    </x:row>
    <x:row r="26" ht="25" customHeight="1">
      <x:c r="B26" s="1"/>
      <x:c r="C26" s="1"/>
      <x:c r="D26" s="1"/>
      <x:c r="E26" s="1"/>
      <x:c r="F26" s="1"/>
      <x:c r="G26" s="1"/>
    </x:row>
    <x:row r="27" ht="25" customHeight="1">
      <x:c r="B27" s="1" t="str">
        <x:v>另测：用表头筛选客户甲；保存关闭重开；改D6后确认重新计算。</x:v>
      </x:c>
      <x:c r="C27" s="1"/>
      <x:c r="D27" s="1"/>
      <x:c r="E27" s="1"/>
      <x:c r="F27" s="1"/>
      <x:c r="G27" s="1"/>
    </x:row>
    <x:row r="28" ht="25" customHeight="1">
      <x:c r="B28" s="1" t="str">
        <x:v>原始基线：流入130、流出71、净额59。改动后请用新版本记录。</x:v>
      </x:c>
      <x:c r="C28" s="1"/>
      <x:c r="D28" s="1"/>
      <x:c r="E28" s="1"/>
      <x:c r="F28" s="1"/>
      <x:c r="G28" s="1"/>
    </x:row>
    <x:row r="29" ht="25" customHeight="1">
      <x:c r="B29" s="1" t="str">
        <x:v>筛选、导入、动态数组及保存行为都必须在千问实际测试。</x:v>
      </x:c>
      <x:c r="C29" s="1"/>
      <x:c r="D29" s="1"/>
      <x:c r="E29" s="1"/>
      <x:c r="F29" s="1"/>
      <x:c r="G29" s="1"/>
    </x:row>
    <x:row r="30" ht="25" customHeight="1">
      <x:c r="B30" s="1"/>
      <x:c r="C30" s="1"/>
      <x:c r="D30" s="1"/>
      <x:c r="E30" s="1"/>
      <x:c r="F30" s="1"/>
      <x:c r="G30" s="1"/>
    </x:row>
    <x:row r="31" ht="25" customHeight="1">
      <x:c r="B31" s="1"/>
      <x:c r="C31" s="1"/>
      <x:c r="D31" s="1"/>
      <x:c r="E31" s="1"/>
      <x:c r="F31" s="1"/>
      <x:c r="G31" s="1"/>
    </x:row>
    <x:row r="32" ht="25" customHeight="1">
      <x:c r="B32" s="1"/>
      <x:c r="C32" s="1"/>
      <x:c r="D32" s="1"/>
      <x:c r="E32" s="1"/>
      <x:c r="F32" s="1"/>
      <x:c r="G32" s="1"/>
    </x:row>
    <x:row r="33" ht="25" customHeight="1">
      <x:c r="B33" s="1"/>
      <x:c r="C33" s="1"/>
      <x:c r="D33" s="1"/>
      <x:c r="E33" s="1"/>
      <x:c r="F33" s="1"/>
      <x:c r="G33" s="1"/>
    </x:row>
    <x:row r="34" ht="25" customHeight="1">
      <x:c r="B34" s="1"/>
      <x:c r="C34" s="1"/>
      <x:c r="D34" s="1"/>
      <x:c r="E34" s="1"/>
      <x:c r="F34" s="1"/>
      <x:c r="G34" s="1"/>
    </x:row>
    <x:row r="35" ht="25" customHeight="1">
      <x:c r="B35" s="1"/>
      <x:c r="C35" s="1"/>
      <x:c r="D35" s="1"/>
      <x:c r="E35" s="1"/>
      <x:c r="F35" s="1"/>
      <x:c r="G35" s="1"/>
    </x:row>
  </x:sheetData>
  <x:conditionalFormatting sqref="F6:F18">
    <x:cfRule type="containsText" dxfId="0" priority="1" operator="containsText" text="不一致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2" ht="25" customHeight="1">
      <x:c r="B2" s="2" t="str">
        <x:v>虚构输入｜只用于功能验证</x:v>
      </x:c>
      <x:c r="C2" s="1"/>
      <x:c r="D2" s="1"/>
      <x:c r="E2" s="1"/>
      <x:c r="F2" s="1"/>
      <x:c r="G2" s="1"/>
    </x:row>
    <x:row r="3" ht="25" customHeight="1">
      <x:c r="B3" s="1" t="str">
        <x:v>来源：Codex构造；金额单位万元，不对应任何真实企业。</x:v>
      </x:c>
      <x:c r="C3" s="1"/>
      <x:c r="D3" s="1"/>
      <x:c r="E3" s="1"/>
      <x:c r="F3" s="1"/>
      <x:c r="G3" s="1"/>
    </x:row>
    <x:row r="4" ht="25" customHeight="1">
      <x:c r="B4" s="1"/>
      <x:c r="C4" s="1"/>
      <x:c r="D4" s="1"/>
      <x:c r="E4" s="1"/>
      <x:c r="F4" s="1"/>
      <x:c r="G4" s="1"/>
    </x:row>
    <x:row r="5" ht="25" customHeight="1">
      <x:c r="B5" s="7" t="str">
        <x:v>单据号</x:v>
      </x:c>
      <x:c r="C5" s="7" t="str">
        <x:v>客户</x:v>
      </x:c>
      <x:c r="D5" s="7" t="str">
        <x:v>流入（万元）</x:v>
      </x:c>
      <x:c r="E5" s="7" t="str">
        <x:v>流出（万元）</x:v>
      </x:c>
      <x:c r="F5" s="7" t="str">
        <x:v>净额（万元）</x:v>
      </x:c>
      <x:c r="G5" s="7" t="str">
        <x:v>缺值测试</x:v>
      </x:c>
    </x:row>
    <x:row r="6" ht="25" customHeight="1">
      <x:c r="B6" s="1" t="str">
        <x:v>DEMO001</x:v>
      </x:c>
      <x:c r="C6" s="1" t="str">
        <x:v>甲</x:v>
      </x:c>
      <x:c r="D6" s="4" t="n">
        <x:v>10</x:v>
      </x:c>
      <x:c r="E6" s="4" t="n">
        <x:v>8</x:v>
      </x:c>
      <x:c r="F6" s="5" t="n">
        <x:f>D6-E6</x:f>
        <x:v>2</x:v>
      </x:c>
      <x:c r="G6" s="4" t="n">
        <x:v>0</x:v>
      </x:c>
    </x:row>
    <x:row r="7" ht="25" customHeight="1">
      <x:c r="B7" s="1" t="str">
        <x:v>DEMO002</x:v>
      </x:c>
      <x:c r="C7" s="1" t="str">
        <x:v>乙</x:v>
      </x:c>
      <x:c r="D7" s="4" t="n">
        <x:v>20</x:v>
      </x:c>
      <x:c r="E7" s="4" t="n">
        <x:v>12</x:v>
      </x:c>
      <x:c r="F7" s="5" t="n">
        <x:f>D7-E7</x:f>
        <x:v>8</x:v>
      </x:c>
      <x:c r="G7" s="4"/>
    </x:row>
    <x:row r="8" ht="25" customHeight="1">
      <x:c r="B8" s="1" t="str">
        <x:v>DEMO003</x:v>
      </x:c>
      <x:c r="C8" s="1" t="str">
        <x:v>丙</x:v>
      </x:c>
      <x:c r="D8" s="4" t="n">
        <x:v>30</x:v>
      </x:c>
      <x:c r="E8" s="4" t="n">
        <x:v>15</x:v>
      </x:c>
      <x:c r="F8" s="5" t="n">
        <x:f>D8-E8</x:f>
        <x:v>15</x:v>
      </x:c>
      <x:c r="G8" s="4" t="n">
        <x:v>5</x:v>
      </x:c>
    </x:row>
    <x:row r="9" ht="25" customHeight="1">
      <x:c r="B9" s="1" t="str">
        <x:v>DEMO001</x:v>
      </x:c>
      <x:c r="C9" s="1" t="str">
        <x:v>甲</x:v>
      </x:c>
      <x:c r="D9" s="4" t="n">
        <x:v>20</x:v>
      </x:c>
      <x:c r="E9" s="4" t="n">
        <x:v>9</x:v>
      </x:c>
      <x:c r="F9" s="5" t="n">
        <x:f>D9-E9</x:f>
        <x:v>11</x:v>
      </x:c>
      <x:c r="G9" s="4"/>
    </x:row>
    <x:row r="10" ht="25" customHeight="1">
      <x:c r="B10" s="1" t="str">
        <x:v>DEMO005</x:v>
      </x:c>
      <x:c r="C10" s="1" t="str">
        <x:v>丁</x:v>
      </x:c>
      <x:c r="D10" s="4" t="n">
        <x:v>10</x:v>
      </x:c>
      <x:c r="E10" s="4" t="n">
        <x:v>7</x:v>
      </x:c>
      <x:c r="F10" s="5" t="n">
        <x:f>D10-E10</x:f>
        <x:v>3</x:v>
      </x:c>
      <x:c r="G10" s="4"/>
    </x:row>
    <x:row r="11" ht="25" customHeight="1">
      <x:c r="B11" s="1" t="str">
        <x:v>DEMO006</x:v>
      </x:c>
      <x:c r="C11" s="1" t="str">
        <x:v>乙</x:v>
      </x:c>
      <x:c r="D11" s="4" t="n">
        <x:v>40</x:v>
      </x:c>
      <x:c r="E11" s="4" t="n">
        <x:v>20</x:v>
      </x:c>
      <x:c r="F11" s="5" t="n">
        <x:f>D11-E11</x:f>
        <x:v>20</x:v>
      </x:c>
      <x:c r="G11" s="4"/>
    </x:row>
    <x:row r="12" ht="25" customHeight="1">
      <x:c r="B12" s="1"/>
      <x:c r="C12" s="1"/>
      <x:c r="D12" s="1"/>
      <x:c r="E12" s="1"/>
      <x:c r="F12" s="1"/>
      <x:c r="G12" s="1"/>
    </x:row>
    <x:row r="13" ht="25" customHeight="1">
      <x:c r="B13" s="1"/>
      <x:c r="C13" s="1"/>
      <x:c r="D13" s="1"/>
      <x:c r="E13" s="1"/>
      <x:c r="F13" s="1"/>
      <x:c r="G13" s="1"/>
    </x:row>
    <x:row r="14" ht="25" customHeight="1">
      <x:c r="B14" s="1" t="str">
        <x:v>蓝色数字可在副本上修改；F列为公式。重复单据仅用于测试。</x:v>
      </x:c>
      <x:c r="C14" s="1"/>
      <x:c r="D14" s="1"/>
      <x:c r="E14" s="1"/>
      <x:c r="F14" s="1"/>
      <x:c r="G14" s="1"/>
    </x:row>
    <x:row r="15" ht="25" customHeight="1">
      <x:c r="B15" s="1"/>
      <x:c r="C15" s="1"/>
      <x:c r="D15" s="1"/>
      <x:c r="E15" s="1"/>
      <x:c r="F15" s="1"/>
      <x:c r="G15" s="1"/>
    </x:row>
    <x:row r="16" ht="25" customHeight="1">
      <x:c r="B16" s="1"/>
      <x:c r="C16" s="1"/>
      <x:c r="D16" s="1"/>
      <x:c r="E16" s="1"/>
      <x:c r="F16" s="1"/>
      <x:c r="G16" s="1"/>
    </x:row>
    <x:row r="17" ht="25" customHeight="1">
      <x:c r="B17" s="1"/>
      <x:c r="C17" s="1"/>
      <x:c r="D17" s="1"/>
      <x:c r="E17" s="1"/>
      <x:c r="F17" s="1"/>
      <x:c r="G17" s="1"/>
    </x:row>
    <x:row r="18" ht="25" customHeight="1">
      <x:c r="B18" s="1"/>
      <x:c r="C18" s="1"/>
      <x:c r="D18" s="1"/>
      <x:c r="E18" s="1"/>
      <x:c r="F18" s="1"/>
      <x:c r="G18" s="1"/>
    </x:row>
    <x:row r="19" ht="25" customHeight="1">
      <x:c r="B19" s="1"/>
      <x:c r="C19" s="1"/>
      <x:c r="D19" s="1"/>
      <x:c r="E19" s="1"/>
      <x:c r="F19" s="1"/>
      <x:c r="G19" s="1"/>
    </x:row>
    <x:row r="20" ht="25" customHeight="1">
      <x:c r="B20" s="1"/>
      <x:c r="C20" s="1"/>
      <x:c r="D20" s="1"/>
      <x:c r="E20" s="1"/>
      <x:c r="F20" s="1"/>
      <x:c r="G20" s="1"/>
    </x:row>
    <x:row r="21" ht="25" customHeight="1">
      <x:c r="B21" s="1"/>
      <x:c r="C21" s="1"/>
      <x:c r="D21" s="1"/>
      <x:c r="E21" s="1"/>
      <x:c r="F21" s="1"/>
      <x:c r="G21" s="1"/>
    </x:row>
    <x:row r="22" ht="25" customHeight="1">
      <x:c r="B22" s="1"/>
      <x:c r="C22" s="1"/>
      <x:c r="D22" s="1"/>
      <x:c r="E22" s="1"/>
      <x:c r="F22" s="1"/>
      <x:c r="G22" s="1"/>
    </x:row>
    <x:row r="23" ht="25" customHeight="1">
      <x:c r="B23" s="1"/>
      <x:c r="C23" s="1"/>
      <x:c r="D23" s="1"/>
      <x:c r="E23" s="1"/>
      <x:c r="F23" s="1"/>
      <x:c r="G23" s="1"/>
    </x:row>
    <x:row r="24" ht="25" customHeight="1">
      <x:c r="B24" s="1"/>
      <x:c r="C24" s="1"/>
      <x:c r="D24" s="1"/>
      <x:c r="E24" s="1"/>
      <x:c r="F24" s="1"/>
      <x:c r="G24" s="1"/>
    </x:row>
    <x:row r="25" ht="25" customHeight="1">
      <x:c r="B25" s="1"/>
      <x:c r="C25" s="1"/>
      <x:c r="D25" s="1"/>
      <x:c r="E25" s="1"/>
      <x:c r="F25" s="1"/>
      <x:c r="G25" s="1"/>
    </x:row>
    <x:row r="26" ht="25" customHeight="1">
      <x:c r="B26" s="1"/>
      <x:c r="C26" s="1"/>
      <x:c r="D26" s="1"/>
      <x:c r="E26" s="1"/>
      <x:c r="F26" s="1"/>
      <x:c r="G26" s="1"/>
    </x:row>
    <x:row r="27" ht="25" customHeight="1">
      <x:c r="B27" s="1"/>
      <x:c r="C27" s="1"/>
      <x:c r="D27" s="1"/>
      <x:c r="E27" s="1"/>
      <x:c r="F27" s="1"/>
      <x:c r="G27" s="1"/>
    </x:row>
    <x:row r="28" ht="25" customHeight="1">
      <x:c r="B28" s="1"/>
      <x:c r="C28" s="1"/>
      <x:c r="D28" s="1"/>
      <x:c r="E28" s="1"/>
      <x:c r="F28" s="1"/>
      <x:c r="G28" s="1"/>
    </x:row>
    <x:row r="29" ht="25" customHeight="1">
      <x:c r="B29" s="1"/>
      <x:c r="C29" s="1"/>
      <x:c r="D29" s="1"/>
      <x:c r="E29" s="1"/>
      <x:c r="F29" s="1"/>
      <x:c r="G29" s="1"/>
    </x:row>
    <x:row r="30" ht="25" customHeight="1">
      <x:c r="B30" s="1"/>
      <x:c r="C30" s="1"/>
      <x:c r="D30" s="1"/>
      <x:c r="E30" s="1"/>
      <x:c r="F30" s="1"/>
      <x:c r="G30" s="1"/>
    </x:row>
    <x:row r="31" ht="25" customHeight="1">
      <x:c r="B31" s="1"/>
      <x:c r="C31" s="1"/>
      <x:c r="D31" s="1"/>
      <x:c r="E31" s="1"/>
      <x:c r="F31" s="1"/>
      <x:c r="G31" s="1"/>
    </x:row>
    <x:row r="32" ht="25" customHeight="1">
      <x:c r="B32" s="1"/>
      <x:c r="C32" s="1"/>
      <x:c r="D32" s="1"/>
      <x:c r="E32" s="1"/>
      <x:c r="F32" s="1"/>
      <x:c r="G32" s="1"/>
    </x:row>
    <x:row r="33" ht="25" customHeight="1">
      <x:c r="B33" s="1"/>
      <x:c r="C33" s="1"/>
      <x:c r="D33" s="1"/>
      <x:c r="E33" s="1"/>
      <x:c r="F33" s="1"/>
      <x:c r="G33" s="1"/>
    </x:row>
    <x:row r="34" ht="25" customHeight="1">
      <x:c r="B34" s="1"/>
      <x:c r="C34" s="1"/>
      <x:c r="D34" s="1"/>
      <x:c r="E34" s="1"/>
      <x:c r="F34" s="1"/>
      <x:c r="G34" s="1"/>
    </x:row>
    <x:row r="35" ht="25" customHeight="1">
      <x:c r="B35" s="1"/>
      <x:c r="C35" s="1"/>
      <x:c r="D35" s="1"/>
      <x:c r="E35" s="1"/>
      <x:c r="F35" s="1"/>
      <x:c r="G35" s="1"/>
    </x:row>
  </x:sheetData>
  <x:pageMargins left="0.7" right="0.7" top="0.75" bottom="0.75" header="0.3" footer="0.3"/>
  <x:tableParts count="1">
    <x:tablePart xmlns:r="http://schemas.openxmlformats.org/officeDocument/2006/relationships" r:id="R888f6cd553154ee1"/>
  </x:tableParts>
</x:worksheet>
</file>