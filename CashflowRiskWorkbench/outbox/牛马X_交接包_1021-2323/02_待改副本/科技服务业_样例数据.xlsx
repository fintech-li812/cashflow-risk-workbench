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  <sheet name="应收账款" sheetId="3" state="visible" r:id="rId3"/>
    <sheet name="筹资信息" sheetId="4" state="visible" r:id="rId4"/>
    <sheet name="投资现金流" sheetId="5" state="visible" r:id="rId5"/>
    <sheet name="银行流水" sheetId="6" state="visible" r:id="rId6"/>
    <sheet name="行业参数" sheetId="7" state="visible" r:id="rId7"/>
    <sheet name="数据字典" sheetId="8" state="visible" r:id="rId8"/>
  </sheets>
  <definedNames>
    <definedName name="_xlnm._FilterDatabase" localSheetId="0" hidden="1">'企业基本信息'!$A$2:$C$28</definedName>
    <definedName name="_xlnm._FilterDatabase" localSheetId="1" hidden="1">'现金流水'!$A$2:$I$13</definedName>
    <definedName name="_xlnm._FilterDatabase" localSheetId="2" hidden="1">'应收账款'!$A$2:$J$26</definedName>
    <definedName name="_xlnm._FilterDatabase" localSheetId="3" hidden="1">'筹资信息'!$A$2:$E$8</definedName>
    <definedName name="_xlnm._FilterDatabase" localSheetId="4" hidden="1">'投资现金流'!$A$2:$F$5</definedName>
    <definedName name="_xlnm._FilterDatabase" localSheetId="5" hidden="1">'银行流水'!$A$2:$F$15</definedName>
    <definedName name="_xlnm._FilterDatabase" localSheetId="6" hidden="1">'行业参数'!$A$2:$M$8</definedName>
    <definedName name="_xlnm._FilterDatabase" localSheetId="7" hidden="1">'数据字典'!$A$2:$F$7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1"/>
    </font>
    <font>
      <i val="1"/>
      <color rgb="00C00000"/>
    </font>
    <font>
      <b val="1"/>
      <color rgb="00C00000"/>
    </font>
    <font>
      <b val="1"/>
      <color rgb="001F4E79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F2F7FB"/>
        <bgColor rgb="00F2F7FB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" fontId="4" fillId="3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0" borderId="0" pivotButton="0" quotePrefix="0" xfId="0"/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4" fontId="5" fillId="5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4" fontId="6" fillId="0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4" fontId="6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3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6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C00000"/>
      </font>
      <fill>
        <patternFill patternType="solid">
          <fgColor rgb="00F8CBAD"/>
          <bgColor rgb="00F8CBAD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B3B3"/>
          <bgColor rgb="00FFB3B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52" customWidth="1" min="3" max="3"/>
  </cols>
  <sheetData>
    <row r="1">
      <c r="A1" s="1" t="inlineStr">
        <is>
          <t>科技服务业｜企业基本信息</t>
        </is>
      </c>
    </row>
    <row r="2" ht="30" customHeight="1">
      <c r="A2" s="2" t="inlineStr">
        <is>
          <t>字段</t>
        </is>
      </c>
      <c r="B2" s="2" t="inlineStr">
        <is>
          <t>值</t>
        </is>
      </c>
      <c r="C2" s="2" t="inlineStr">
        <is>
          <t>说明</t>
        </is>
      </c>
    </row>
    <row r="3" ht="20" customHeight="1">
      <c r="A3" s="3" t="inlineStr">
        <is>
          <t>企业名称</t>
        </is>
      </c>
      <c r="B3" s="3" t="inlineStr">
        <is>
          <t>智汇云创软件技术（深圳）有限公司</t>
        </is>
      </c>
      <c r="C3" s="3" t="inlineStr">
        <is>
          <t>工商登记全称</t>
        </is>
      </c>
    </row>
    <row r="4" ht="20" customHeight="1">
      <c r="A4" s="9" t="inlineStr">
        <is>
          <t>行业代码（GB/T 4754-2017）</t>
        </is>
      </c>
      <c r="B4" s="9" t="inlineStr">
        <is>
          <t>I65</t>
        </is>
      </c>
      <c r="C4" s="9" t="inlineStr">
        <is>
          <t>数据闸→行业代码校验</t>
        </is>
      </c>
    </row>
    <row r="5" ht="20" customHeight="1">
      <c r="A5" s="3" t="inlineStr">
        <is>
          <t>所属行业</t>
        </is>
      </c>
      <c r="B5" s="3" t="inlineStr">
        <is>
          <t>科技服务业</t>
        </is>
      </c>
      <c r="C5" s="3" t="inlineStr"/>
    </row>
    <row r="6" ht="20" customHeight="1">
      <c r="A6" s="9" t="inlineStr">
        <is>
          <t>企业规模</t>
        </is>
      </c>
      <c r="B6" s="9" t="inlineStr">
        <is>
          <t>小型</t>
        </is>
      </c>
      <c r="C6" s="9" t="inlineStr">
        <is>
          <t>按工信部中小企业划型标准</t>
        </is>
      </c>
    </row>
    <row r="7" ht="20" customHeight="1">
      <c r="A7" s="3" t="inlineStr">
        <is>
          <t>在职人数（人）</t>
        </is>
      </c>
      <c r="B7" s="4" t="n">
        <v>-6200</v>
      </c>
      <c r="C7" s="3" t="inlineStr">
        <is>
          <t>数据闸→规模合理性校验（人数&lt;1 判异常）</t>
        </is>
      </c>
    </row>
    <row r="8" ht="20" customHeight="1">
      <c r="A8" s="9" t="inlineStr">
        <is>
          <t>上年度营业收入（万元）</t>
        </is>
      </c>
      <c r="B8" s="10" t="n">
        <v>6200</v>
      </c>
      <c r="C8" s="9" t="inlineStr">
        <is>
          <t>数据闸→规模合理性校验（营收&lt;0 判异常）</t>
        </is>
      </c>
    </row>
    <row r="9" ht="20" customHeight="1">
      <c r="A9" s="3" t="inlineStr">
        <is>
          <t>月均现金缓冲（万元）</t>
        </is>
      </c>
      <c r="B9" s="5" t="n">
        <v>105</v>
      </c>
      <c r="C9" s="3" t="inlineStr">
        <is>
          <t>用于红黄绿判定的测算基数</t>
        </is>
      </c>
    </row>
    <row r="10" ht="20" customHeight="1">
      <c r="A10" s="9" t="inlineStr">
        <is>
          <t>月均经营性流出 M（万元）</t>
        </is>
      </c>
      <c r="B10" s="10" t="n">
        <v>65.09999999999999</v>
      </c>
      <c r="C10" s="9" t="inlineStr">
        <is>
          <t>近12个月经营性流出均值，定时任务每月重算（v8 基数）</t>
        </is>
      </c>
    </row>
    <row r="11" ht="20" customHeight="1">
      <c r="A11" s="3" t="inlineStr">
        <is>
          <t>现金缓冲黄灯系数 K黄</t>
        </is>
      </c>
      <c r="B11" s="11" t="n">
        <v>1</v>
      </c>
      <c r="C11" s="3" t="inlineStr">
        <is>
          <t>v8 相对指标：黄灯金额 = M × 1.0（规模自适应，禁止直接用金额）</t>
        </is>
      </c>
    </row>
    <row r="12" ht="20" customHeight="1">
      <c r="A12" s="9" t="inlineStr">
        <is>
          <t>现金缓冲红灯系数 K红</t>
        </is>
      </c>
      <c r="B12" s="11" t="n">
        <v>0.5</v>
      </c>
      <c r="C12" s="9" t="inlineStr">
        <is>
          <t>v8 相对指标：红灯金额 = M × 0.5</t>
        </is>
      </c>
    </row>
    <row r="13" ht="20" customHeight="1">
      <c r="A13" s="12" t="inlineStr">
        <is>
          <t>黄灯折算金额（万元，仅演示参考）</t>
        </is>
      </c>
      <c r="B13" s="13" t="n">
        <v>65.09999999999999</v>
      </c>
      <c r="C13" s="3" t="inlineStr">
        <is>
          <t>公式一律用 M×K 现算，不得引用本行</t>
        </is>
      </c>
    </row>
    <row r="14" ht="20" customHeight="1">
      <c r="A14" s="14" t="inlineStr">
        <is>
          <t>红灯折算金额（万元，仅演示参考）</t>
        </is>
      </c>
      <c r="B14" s="15" t="n">
        <v>32.55</v>
      </c>
      <c r="C14" s="9" t="inlineStr">
        <is>
          <t>同上</t>
        </is>
      </c>
    </row>
    <row r="15" ht="20" customHeight="1">
      <c r="A15" s="3" t="inlineStr">
        <is>
          <t>审批相对线 1（部门经理）</t>
        </is>
      </c>
      <c r="B15" s="3" t="inlineStr">
        <is>
          <t>单笔 ≤ M × 10%</t>
        </is>
      </c>
      <c r="C15" s="3" t="inlineStr">
        <is>
          <t>v8：全行业统一相对线，取消绝对金额分界</t>
        </is>
      </c>
    </row>
    <row r="16" ht="20" customHeight="1">
      <c r="A16" s="9" t="inlineStr">
        <is>
          <t>审批相对线 2（财务总监）</t>
        </is>
      </c>
      <c r="B16" s="9" t="inlineStr">
        <is>
          <t>M×10% &lt; 单笔 ≤ M×40%</t>
        </is>
      </c>
      <c r="C16" s="9" t="inlineStr">
        <is>
          <t>v8 相对指标</t>
        </is>
      </c>
    </row>
    <row r="17" ht="20" customHeight="1">
      <c r="A17" s="3" t="inlineStr">
        <is>
          <t>审批相对线 3（双签）</t>
        </is>
      </c>
      <c r="B17" s="3" t="inlineStr">
        <is>
          <t>单笔 &gt; M × 40%</t>
        </is>
      </c>
      <c r="C17" s="3" t="inlineStr">
        <is>
          <t>v8 相对指标</t>
        </is>
      </c>
    </row>
    <row r="18" ht="20" customHeight="1">
      <c r="A18" s="9" t="inlineStr">
        <is>
          <t>时间缓冲黄灯线（天）</t>
        </is>
      </c>
      <c r="B18" s="10" t="n">
        <v>20</v>
      </c>
      <c r="C18" s="9" t="inlineStr">
        <is>
          <t>第五章 科技服务业 参数表</t>
        </is>
      </c>
    </row>
    <row r="19" ht="20" customHeight="1">
      <c r="A19" s="3" t="inlineStr">
        <is>
          <t>时间缓冲红灯线（天）</t>
        </is>
      </c>
      <c r="B19" s="5" t="n">
        <v>10</v>
      </c>
      <c r="C19" s="3" t="inlineStr">
        <is>
          <t>第五章 科技服务业 参数表</t>
        </is>
      </c>
    </row>
    <row r="20" ht="20" customHeight="1">
      <c r="A20" s="9" t="inlineStr">
        <is>
          <t>应收账款周转天数基准（天）</t>
        </is>
      </c>
      <c r="B20" s="10" t="n">
        <v>45</v>
      </c>
      <c r="C20" s="9" t="inlineStr">
        <is>
          <t>用于偏离行业均值 30% 判定</t>
        </is>
      </c>
    </row>
    <row r="21" ht="20" customHeight="1">
      <c r="A21" s="3" t="inlineStr">
        <is>
          <t>存货周转天数基准（天）</t>
        </is>
      </c>
      <c r="B21" s="5" t="n">
        <v>30</v>
      </c>
      <c r="C21" s="3" t="inlineStr"/>
    </row>
    <row r="22" ht="20" customHeight="1">
      <c r="A22" s="9" t="inlineStr">
        <is>
          <t>流动比率基准</t>
        </is>
      </c>
      <c r="B22" s="10" t="n">
        <v>2</v>
      </c>
      <c r="C22" s="9" t="inlineStr"/>
    </row>
    <row r="23" ht="20" customHeight="1">
      <c r="A23" s="3" t="inlineStr">
        <is>
          <t>资产负债率警戒线</t>
        </is>
      </c>
      <c r="B23" s="3" t="inlineStr">
        <is>
          <t>55%</t>
        </is>
      </c>
      <c r="C23" s="3" t="inlineStr">
        <is>
          <t>超线触发红灯</t>
        </is>
      </c>
    </row>
    <row r="24" ht="20" customHeight="1">
      <c r="A24" s="9" t="inlineStr">
        <is>
          <t>主要融资方式</t>
        </is>
      </c>
      <c r="B24" s="9" t="inlineStr">
        <is>
          <t>股权融资 + 政府科技补贴 + 少量信用贷</t>
        </is>
      </c>
      <c r="C24" s="9" t="inlineStr"/>
    </row>
    <row r="25" ht="20" customHeight="1">
      <c r="A25" s="3" t="inlineStr">
        <is>
          <t>数据区间</t>
        </is>
      </c>
      <c r="B25" s="3" t="inlineStr">
        <is>
          <t>2025-10-01 至 2026-09-30</t>
        </is>
      </c>
      <c r="C25" s="3" t="inlineStr">
        <is>
          <t>12 个月整，满足动态阈值启用前提</t>
        </is>
      </c>
    </row>
    <row r="26" ht="20" customHeight="1">
      <c r="A26" s="9" t="inlineStr">
        <is>
          <t>数据提供部门</t>
        </is>
      </c>
      <c r="B26" s="9" t="inlineStr">
        <is>
          <t>财务部</t>
        </is>
      </c>
      <c r="C26" s="9" t="inlineStr">
        <is>
          <t>月度关账后 T+3 提供</t>
        </is>
      </c>
    </row>
    <row r="27" ht="20" customHeight="1">
      <c r="A27" s="3" t="inlineStr">
        <is>
          <t>数据版本</t>
        </is>
      </c>
      <c r="B27" s="3" t="inlineStr">
        <is>
          <t>Demo v1.0（含故意错误，见「数据字典」）</t>
        </is>
      </c>
      <c r="C27" s="3" t="inlineStr"/>
    </row>
    <row r="28" ht="20" customHeight="1">
      <c r="A28" s="9" t="inlineStr">
        <is>
          <t>行业特殊规则</t>
        </is>
      </c>
      <c r="B28" s="9" t="inlineStr">
        <is>
          <t>轻资产、人力成本为主，Q4 集中验收确认收入</t>
        </is>
      </c>
      <c r="C28" s="9" t="inlineStr"/>
    </row>
  </sheetData>
  <autoFilter ref="A2:C28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8" customWidth="1" min="4" max="4"/>
    <col width="18" customWidth="1" min="5" max="5"/>
    <col width="16" customWidth="1" min="6" max="6"/>
    <col width="18" customWidth="1" min="7" max="7"/>
    <col width="30" customWidth="1" min="8" max="8"/>
    <col width="14" customWidth="1" min="9" max="9"/>
  </cols>
  <sheetData>
    <row r="1">
      <c r="A1" s="1" t="inlineStr">
        <is>
          <t>科技服务业｜月度现金流水（2025-10 ~ 2026-09）</t>
        </is>
      </c>
    </row>
    <row r="2" ht="30" customHeight="1">
      <c r="A2" s="2" t="inlineStr">
        <is>
          <t>月份</t>
        </is>
      </c>
      <c r="B2" s="2" t="inlineStr">
        <is>
          <t>月末日期</t>
        </is>
      </c>
      <c r="C2" s="2" t="inlineStr">
        <is>
          <t>流水类型</t>
        </is>
      </c>
      <c r="D2" s="2" t="inlineStr">
        <is>
          <t>经营性流入（万元）</t>
        </is>
      </c>
      <c r="E2" s="2" t="inlineStr">
        <is>
          <t>经营性流出（万元）</t>
        </is>
      </c>
      <c r="F2" s="2" t="inlineStr">
        <is>
          <t>净现金流（万元）</t>
        </is>
      </c>
      <c r="G2" s="2" t="inlineStr">
        <is>
          <t>期末现金余额（万元）</t>
        </is>
      </c>
      <c r="H2" s="2" t="inlineStr">
        <is>
          <t>说明</t>
        </is>
      </c>
      <c r="I2" s="2" t="inlineStr">
        <is>
          <t>数据闸结果</t>
        </is>
      </c>
    </row>
    <row r="3" ht="20" customHeight="1">
      <c r="A3" s="3" t="inlineStr">
        <is>
          <t>2025-10</t>
        </is>
      </c>
      <c r="B3" s="6" t="n">
        <v>45961</v>
      </c>
      <c r="C3" s="3" t="inlineStr">
        <is>
          <t>经营性</t>
        </is>
      </c>
      <c r="D3" s="5" t="n">
        <v>68.15000000000001</v>
      </c>
      <c r="E3" s="5" t="n">
        <v>48.02</v>
      </c>
      <c r="F3" s="5" t="n">
        <v>20.13</v>
      </c>
      <c r="G3" s="5" t="n">
        <v>93.04000000000001</v>
      </c>
      <c r="H3" s="3" t="inlineStr">
        <is>
          <t>销售回款/工程款/订阅收入</t>
        </is>
      </c>
      <c r="I3" s="7" t="inlineStr">
        <is>
          <t>正常</t>
        </is>
      </c>
    </row>
    <row r="4" ht="20" customHeight="1">
      <c r="A4" s="9" t="inlineStr">
        <is>
          <t>2025-11</t>
        </is>
      </c>
      <c r="B4" s="16" t="n">
        <v>45991</v>
      </c>
      <c r="C4" s="9" t="inlineStr">
        <is>
          <t>经营性</t>
        </is>
      </c>
      <c r="D4" s="10" t="n">
        <v>64.97</v>
      </c>
      <c r="E4" s="10" t="n">
        <v>75.12</v>
      </c>
      <c r="F4" s="10" t="n">
        <v>-10.15</v>
      </c>
      <c r="G4" s="10" t="n">
        <v>84.23999999999999</v>
      </c>
      <c r="H4" s="9" t="inlineStr">
        <is>
          <t>销售回款/工程款/订阅收入</t>
        </is>
      </c>
      <c r="I4" s="9" t="inlineStr">
        <is>
          <t>正常</t>
        </is>
      </c>
    </row>
    <row r="5" ht="20" customHeight="1">
      <c r="A5" s="3" t="inlineStr">
        <is>
          <t>2026-01</t>
        </is>
      </c>
      <c r="B5" s="6" t="n">
        <v>46053</v>
      </c>
      <c r="C5" s="3" t="inlineStr">
        <is>
          <t>经营性</t>
        </is>
      </c>
      <c r="D5" s="5" t="n">
        <v>70.86</v>
      </c>
      <c r="E5" s="5" t="n">
        <v>84.17</v>
      </c>
      <c r="F5" s="5" t="n">
        <v>-13.31</v>
      </c>
      <c r="G5" s="5" t="n">
        <v>57</v>
      </c>
      <c r="H5" s="3" t="inlineStr">
        <is>
          <t>销售回款/工程款/订阅收入</t>
        </is>
      </c>
      <c r="I5" s="3" t="inlineStr">
        <is>
          <t>正常</t>
        </is>
      </c>
    </row>
    <row r="6" ht="20" customHeight="1">
      <c r="A6" s="9" t="inlineStr">
        <is>
          <t>2026-02</t>
        </is>
      </c>
      <c r="B6" s="16" t="n">
        <v>46081</v>
      </c>
      <c r="C6" s="9" t="inlineStr">
        <is>
          <t>经营性</t>
        </is>
      </c>
      <c r="D6" s="10" t="n">
        <v>71.84</v>
      </c>
      <c r="E6" s="10" t="n">
        <v>85.7</v>
      </c>
      <c r="F6" s="10" t="n">
        <v>-13.86</v>
      </c>
      <c r="G6" s="10" t="n">
        <v>43.43</v>
      </c>
      <c r="H6" s="9" t="inlineStr">
        <is>
          <t>销售回款/工程款/订阅收入</t>
        </is>
      </c>
      <c r="I6" s="9" t="inlineStr">
        <is>
          <t>正常</t>
        </is>
      </c>
    </row>
    <row r="7" ht="20" customHeight="1">
      <c r="A7" s="3" t="inlineStr">
        <is>
          <t>2026-03</t>
        </is>
      </c>
      <c r="B7" s="6" t="n">
        <v>46112</v>
      </c>
      <c r="C7" s="3" t="inlineStr">
        <is>
          <t>经营性</t>
        </is>
      </c>
      <c r="D7" s="5" t="n">
        <v>71.31999999999999</v>
      </c>
      <c r="E7" s="5" t="n">
        <v>84.72</v>
      </c>
      <c r="F7" s="5" t="n">
        <v>-13.4</v>
      </c>
      <c r="G7" s="5" t="n">
        <v>29.57</v>
      </c>
      <c r="H7" s="3" t="inlineStr">
        <is>
          <t>销售回款/工程款/订阅收入</t>
        </is>
      </c>
      <c r="I7" s="3" t="inlineStr">
        <is>
          <t>正常</t>
        </is>
      </c>
    </row>
    <row r="8" ht="20" customHeight="1">
      <c r="A8" s="9" t="inlineStr">
        <is>
          <t>2026-04</t>
        </is>
      </c>
      <c r="B8" s="16" t="n">
        <v>46142</v>
      </c>
      <c r="C8" s="9" t="inlineStr">
        <is>
          <t>经营性</t>
        </is>
      </c>
      <c r="D8" s="10" t="n">
        <v>68.59999999999999</v>
      </c>
      <c r="E8" s="10" t="n">
        <v>73.26000000000001</v>
      </c>
      <c r="F8" s="10" t="n">
        <v>-4.66</v>
      </c>
      <c r="G8" s="10" t="n">
        <v>24.63</v>
      </c>
      <c r="H8" s="9" t="inlineStr">
        <is>
          <t>销售回款/工程款/订阅收入</t>
        </is>
      </c>
      <c r="I8" s="9" t="inlineStr">
        <is>
          <t>正常</t>
        </is>
      </c>
    </row>
    <row r="9" ht="20" customHeight="1">
      <c r="A9" s="3" t="inlineStr">
        <is>
          <t>2026-05</t>
        </is>
      </c>
      <c r="B9" s="6" t="n">
        <v>46173</v>
      </c>
      <c r="C9" s="3" t="inlineStr">
        <is>
          <t>经营性</t>
        </is>
      </c>
      <c r="D9" s="5" t="n">
        <v>68.69</v>
      </c>
      <c r="E9" s="5" t="n">
        <v>33.25</v>
      </c>
      <c r="F9" s="5" t="n">
        <v>35.44</v>
      </c>
      <c r="G9" s="5" t="n">
        <v>60.18</v>
      </c>
      <c r="H9" s="3" t="inlineStr">
        <is>
          <t>销售回款/工程款/订阅收入</t>
        </is>
      </c>
      <c r="I9" s="3" t="inlineStr">
        <is>
          <t>正常</t>
        </is>
      </c>
    </row>
    <row r="10" ht="20" customHeight="1">
      <c r="A10" s="9" t="inlineStr">
        <is>
          <t>2026-06</t>
        </is>
      </c>
      <c r="B10" s="16" t="n">
        <v>46203</v>
      </c>
      <c r="C10" s="9" t="inlineStr">
        <is>
          <t>经营性</t>
        </is>
      </c>
      <c r="D10" s="10" t="n">
        <v>72.88</v>
      </c>
      <c r="E10" s="10" t="n">
        <v>65.06</v>
      </c>
      <c r="F10" s="10" t="n">
        <v>7.82</v>
      </c>
      <c r="G10" s="10" t="n">
        <v>67.70999999999999</v>
      </c>
      <c r="H10" s="9" t="inlineStr">
        <is>
          <t>销售回款/工程款/订阅收入</t>
        </is>
      </c>
      <c r="I10" s="9" t="inlineStr">
        <is>
          <t>正常</t>
        </is>
      </c>
    </row>
    <row r="11" ht="20" customHeight="1">
      <c r="A11" s="3" t="inlineStr">
        <is>
          <t>2026-07</t>
        </is>
      </c>
      <c r="B11" s="6" t="n">
        <v>46234</v>
      </c>
      <c r="C11" s="3" t="inlineStr">
        <is>
          <t>经营性</t>
        </is>
      </c>
      <c r="D11" s="5" t="n">
        <v>71.29000000000001</v>
      </c>
      <c r="E11" s="5" t="n">
        <v>60.15</v>
      </c>
      <c r="F11" s="5" t="n">
        <v>11.14</v>
      </c>
      <c r="G11" s="5" t="n">
        <v>80.15000000000001</v>
      </c>
      <c r="H11" s="3" t="inlineStr">
        <is>
          <t>销售回款/工程款/订阅收入</t>
        </is>
      </c>
      <c r="I11" s="3" t="inlineStr">
        <is>
          <t>正常</t>
        </is>
      </c>
    </row>
    <row r="12" ht="20" customHeight="1">
      <c r="A12" s="9" t="inlineStr">
        <is>
          <t>2026-08</t>
        </is>
      </c>
      <c r="B12" s="16" t="n">
        <v>46265</v>
      </c>
      <c r="C12" s="9" t="inlineStr">
        <is>
          <t>经营性</t>
        </is>
      </c>
      <c r="D12" s="10" t="n">
        <v>74.78</v>
      </c>
      <c r="E12" s="10" t="n">
        <v>65.2</v>
      </c>
      <c r="F12" s="10" t="n">
        <v>9.58</v>
      </c>
      <c r="G12" s="10" t="n">
        <v>89</v>
      </c>
      <c r="H12" s="9" t="inlineStr">
        <is>
          <t>销售回款/工程款/订阅收入</t>
        </is>
      </c>
      <c r="I12" s="9" t="inlineStr">
        <is>
          <t>正常</t>
        </is>
      </c>
    </row>
    <row r="13" ht="20" customHeight="1">
      <c r="A13" s="3" t="inlineStr">
        <is>
          <t>2026-09</t>
        </is>
      </c>
      <c r="B13" s="6" t="n">
        <v>46295</v>
      </c>
      <c r="C13" s="3" t="inlineStr">
        <is>
          <t>经营性</t>
        </is>
      </c>
      <c r="D13" s="5" t="n">
        <v>80.16</v>
      </c>
      <c r="E13" s="5" t="n">
        <v>94.58</v>
      </c>
      <c r="F13" s="5" t="n">
        <v>-14.42</v>
      </c>
      <c r="G13" s="5" t="n">
        <v>74.12</v>
      </c>
      <c r="H13" s="3" t="inlineStr">
        <is>
          <t>销售回款/工程款/订阅收入</t>
        </is>
      </c>
      <c r="I13" s="3" t="inlineStr">
        <is>
          <t>正常</t>
        </is>
      </c>
    </row>
  </sheetData>
  <autoFilter ref="A2:I13"/>
  <mergeCells count="1">
    <mergeCell ref="A1:I1"/>
  </mergeCells>
  <conditionalFormatting sqref="G3:G13">
    <cfRule type="expression" priority="1" dxfId="0" stopIfTrue="1">
      <formula>AND(ISNUMBER(G3),G3&lt;企业基本信息!$B$10*企业基本信息!$B$12)</formula>
    </cfRule>
    <cfRule type="expression" priority="2" dxfId="1" stopIfTrue="1">
      <formula>AND(ISNUMBER(G3),G3&lt;企业基本信息!$B$10*企业基本信息!$B$11)</formula>
    </cfRule>
    <cfRule type="expression" priority="3" dxfId="2" stopIfTrue="1">
      <formula>AND(ISNUMBER(G3),G3&gt;=企业基本信息!$B$10*企业基本信息!$B$11)</formula>
    </cfRule>
  </conditionalFormatting>
  <conditionalFormatting sqref="D3:F13">
    <cfRule type="cellIs" priority="4" operator="lessThan" dxfId="3">
      <formula>0</formula>
    </cfRule>
  </conditionalFormatting>
  <conditionalFormatting sqref="A3:I13">
    <cfRule type="expression" priority="5" dxfId="4" stopIfTrue="0">
      <formula>ISBLANK(A3)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6" customWidth="1" min="5" max="5"/>
    <col width="16" customWidth="1" min="6" max="6"/>
    <col width="14" customWidth="1" min="7" max="7"/>
    <col width="12" customWidth="1" min="8" max="8"/>
    <col width="26" customWidth="1" min="9" max="9"/>
    <col width="14" customWidth="1" min="10" max="10"/>
  </cols>
  <sheetData>
    <row r="1">
      <c r="A1" s="1" t="inlineStr">
        <is>
          <t>科技服务业｜应收账款明细（账期基准 45 天）</t>
        </is>
      </c>
    </row>
    <row r="2" ht="30" customHeight="1">
      <c r="A2" s="2" t="inlineStr">
        <is>
          <t>单据编号</t>
        </is>
      </c>
      <c r="B2" s="2" t="inlineStr">
        <is>
          <t>客户名称</t>
        </is>
      </c>
      <c r="C2" s="2" t="inlineStr">
        <is>
          <t>开票日期</t>
        </is>
      </c>
      <c r="D2" s="2" t="inlineStr">
        <is>
          <t>到期日</t>
        </is>
      </c>
      <c r="E2" s="2" t="inlineStr">
        <is>
          <t>应收金额（万元）</t>
        </is>
      </c>
      <c r="F2" s="2" t="inlineStr">
        <is>
          <t>已收金额（万元）</t>
        </is>
      </c>
      <c r="G2" s="2" t="inlineStr">
        <is>
          <t>实际收款日期</t>
        </is>
      </c>
      <c r="H2" s="2" t="inlineStr">
        <is>
          <t>到账状态</t>
        </is>
      </c>
      <c r="I2" s="2" t="inlineStr">
        <is>
          <t>备注</t>
        </is>
      </c>
      <c r="J2" s="2" t="inlineStr">
        <is>
          <t>数据闸结果</t>
        </is>
      </c>
    </row>
    <row r="3" ht="20" customHeight="1">
      <c r="A3" s="3" t="inlineStr">
        <is>
          <t>AR202607001</t>
        </is>
      </c>
      <c r="B3" s="3" t="inlineStr">
        <is>
          <t>深圳市政务云中心</t>
        </is>
      </c>
      <c r="C3" s="6" t="n">
        <v>46211</v>
      </c>
      <c r="D3" s="6" t="n">
        <v>46265</v>
      </c>
      <c r="E3" s="5" t="n">
        <v>461.51</v>
      </c>
      <c r="F3" s="5" t="n">
        <v>349.23</v>
      </c>
      <c r="G3" s="6" t="n">
        <v>46280</v>
      </c>
      <c r="H3" s="3" t="inlineStr">
        <is>
          <t>部分到账</t>
        </is>
      </c>
      <c r="I3" s="3" t="inlineStr">
        <is>
          <t>尾款未清</t>
        </is>
      </c>
      <c r="J3" s="3" t="inlineStr"/>
    </row>
    <row r="4" ht="20" customHeight="1">
      <c r="A4" s="9" t="inlineStr">
        <is>
          <t>AR202604002</t>
        </is>
      </c>
      <c r="B4" s="9" t="inlineStr">
        <is>
          <t>招商局数字化部</t>
        </is>
      </c>
      <c r="C4" s="16" t="n">
        <v>46115</v>
      </c>
      <c r="D4" s="16" t="n">
        <v>46150</v>
      </c>
      <c r="E4" s="10" t="n">
        <v>250.33</v>
      </c>
      <c r="F4" s="10" t="n">
        <v>161.76</v>
      </c>
      <c r="G4" s="16" t="n">
        <v>46188</v>
      </c>
      <c r="H4" s="9" t="inlineStr">
        <is>
          <t>部分到账</t>
        </is>
      </c>
      <c r="I4" s="9" t="inlineStr">
        <is>
          <t>尾款未清</t>
        </is>
      </c>
      <c r="J4" s="9" t="inlineStr"/>
    </row>
    <row r="5" ht="20" customHeight="1">
      <c r="A5" s="3" t="inlineStr">
        <is>
          <t>AR202607003</t>
        </is>
      </c>
      <c r="B5" s="3" t="inlineStr">
        <is>
          <t>深圳市政务云中心</t>
        </is>
      </c>
      <c r="C5" s="6" t="n">
        <v>46191</v>
      </c>
      <c r="D5" s="6" t="n">
        <v>46254</v>
      </c>
      <c r="E5" s="5" t="n">
        <v>930</v>
      </c>
      <c r="F5" s="5" t="n">
        <v>0</v>
      </c>
      <c r="G5" s="3" t="n"/>
      <c r="H5" s="3" t="inlineStr">
        <is>
          <t>未到账</t>
        </is>
      </c>
      <c r="I5" s="3" t="inlineStr">
        <is>
          <t>重点客户，逾期 41 天未付，已发催收函</t>
        </is>
      </c>
      <c r="J5" s="3" t="inlineStr"/>
    </row>
    <row r="6" ht="20" customHeight="1">
      <c r="A6" s="9" t="inlineStr">
        <is>
          <t>AR202606004</t>
        </is>
      </c>
      <c r="B6" s="9" t="inlineStr">
        <is>
          <t>广州数科集团</t>
        </is>
      </c>
      <c r="C6" s="16" t="n">
        <v>46178</v>
      </c>
      <c r="D6" s="16" t="n">
        <v>46224</v>
      </c>
      <c r="E6" s="10" t="n">
        <v>693.64</v>
      </c>
      <c r="F6" s="10" t="n">
        <v>470.4</v>
      </c>
      <c r="G6" s="16" t="n">
        <v>46254</v>
      </c>
      <c r="H6" s="9" t="inlineStr">
        <is>
          <t>部分到账</t>
        </is>
      </c>
      <c r="I6" s="9" t="inlineStr">
        <is>
          <t>尾款未清</t>
        </is>
      </c>
      <c r="J6" s="9" t="inlineStr"/>
    </row>
    <row r="7" ht="20" customHeight="1">
      <c r="A7" s="3" t="inlineStr">
        <is>
          <t>AR202511005</t>
        </is>
      </c>
      <c r="B7" s="3" t="inlineStr">
        <is>
          <t>深圳市政务云中心</t>
        </is>
      </c>
      <c r="C7" s="6" t="n">
        <v>45985</v>
      </c>
      <c r="D7" s="6" t="n">
        <v>46022</v>
      </c>
      <c r="E7" s="5" t="n">
        <v>612.53</v>
      </c>
      <c r="F7" s="5" t="n">
        <v>612.53</v>
      </c>
      <c r="G7" s="6" t="n">
        <v>46026</v>
      </c>
      <c r="H7" s="3" t="inlineStr">
        <is>
          <t>已验证</t>
        </is>
      </c>
      <c r="I7" s="3" t="inlineStr">
        <is>
          <t>合同约定账期</t>
        </is>
      </c>
      <c r="J7" s="3" t="inlineStr"/>
    </row>
    <row r="8" ht="20" customHeight="1">
      <c r="A8" s="9" t="inlineStr">
        <is>
          <t>AR202512006</t>
        </is>
      </c>
      <c r="B8" s="9" t="inlineStr">
        <is>
          <t>招商局数字化部</t>
        </is>
      </c>
      <c r="C8" s="16" t="n">
        <v>45995</v>
      </c>
      <c r="D8" s="16" t="n">
        <v>46044</v>
      </c>
      <c r="E8" s="10" t="n">
        <v>212.17</v>
      </c>
      <c r="F8" s="10" t="n">
        <v>0</v>
      </c>
      <c r="G8" s="9" t="n"/>
      <c r="H8" s="9" t="inlineStr">
        <is>
          <t>未到账</t>
        </is>
      </c>
      <c r="I8" s="9" t="inlineStr">
        <is>
          <t>已逾期 251 天，催收中</t>
        </is>
      </c>
      <c r="J8" s="9" t="inlineStr"/>
    </row>
    <row r="9" ht="20" customHeight="1">
      <c r="A9" s="3" t="inlineStr">
        <is>
          <t>AR202609007</t>
        </is>
      </c>
      <c r="B9" s="3" t="inlineStr">
        <is>
          <t>比亚迪智能制造事业部</t>
        </is>
      </c>
      <c r="C9" s="6" t="n">
        <v>46266</v>
      </c>
      <c r="D9" s="6" t="n">
        <v>46329</v>
      </c>
      <c r="E9" s="5" t="n">
        <v>358.94</v>
      </c>
      <c r="F9" s="5" t="n">
        <v>0</v>
      </c>
      <c r="G9" s="3" t="n"/>
      <c r="H9" s="3" t="inlineStr">
        <is>
          <t>待验证</t>
        </is>
      </c>
      <c r="I9" s="3" t="inlineStr">
        <is>
          <t>合同约定账期</t>
        </is>
      </c>
      <c r="J9" s="3" t="inlineStr"/>
    </row>
    <row r="10" ht="20" customHeight="1">
      <c r="A10" s="9" t="inlineStr">
        <is>
          <t>AR202510008</t>
        </is>
      </c>
      <c r="B10" s="9" t="inlineStr">
        <is>
          <t>广州数科集团</t>
        </is>
      </c>
      <c r="C10" s="16" t="n">
        <v>45952</v>
      </c>
      <c r="D10" s="16" t="n">
        <v>46015</v>
      </c>
      <c r="E10" s="10" t="n">
        <v>619.55</v>
      </c>
      <c r="F10" s="10" t="n">
        <v>619.55</v>
      </c>
      <c r="G10" s="16" t="n">
        <v>46035</v>
      </c>
      <c r="H10" s="9" t="inlineStr">
        <is>
          <t>待验证</t>
        </is>
      </c>
      <c r="I10" s="9" t="inlineStr">
        <is>
          <t>合同约定账期</t>
        </is>
      </c>
      <c r="J10" s="9" t="inlineStr"/>
    </row>
    <row r="11" ht="20" customHeight="1">
      <c r="A11" s="3" t="inlineStr">
        <is>
          <t>AR202604009</t>
        </is>
      </c>
      <c r="B11" s="3" t="inlineStr">
        <is>
          <t>深圳市政务云中心</t>
        </is>
      </c>
      <c r="C11" s="6" t="n">
        <v>46134</v>
      </c>
      <c r="D11" s="6" t="n">
        <v>46168</v>
      </c>
      <c r="E11" s="5" t="n">
        <v>184.11</v>
      </c>
      <c r="F11" s="4" t="n">
        <v>248.55</v>
      </c>
      <c r="G11" s="6" t="n">
        <v>46181</v>
      </c>
      <c r="H11" s="3" t="inlineStr">
        <is>
          <t>部分到账</t>
        </is>
      </c>
      <c r="I11" s="3" t="inlineStr">
        <is>
          <t>尾款未清</t>
        </is>
      </c>
      <c r="J11" s="3" t="inlineStr"/>
    </row>
    <row r="12" ht="20" customHeight="1">
      <c r="A12" s="9" t="inlineStr">
        <is>
          <t>AR202511010</t>
        </is>
      </c>
      <c r="B12" s="9" t="inlineStr">
        <is>
          <t>招商局数字化部</t>
        </is>
      </c>
      <c r="C12" s="16" t="n">
        <v>45965</v>
      </c>
      <c r="D12" s="16" t="n">
        <v>46012</v>
      </c>
      <c r="E12" s="10" t="n">
        <v>116.14</v>
      </c>
      <c r="F12" s="10" t="n">
        <v>116.14</v>
      </c>
      <c r="G12" s="16" t="n">
        <v>46013</v>
      </c>
      <c r="H12" s="9" t="inlineStr">
        <is>
          <t>已验证</t>
        </is>
      </c>
      <c r="I12" s="9" t="inlineStr">
        <is>
          <t>合同约定账期</t>
        </is>
      </c>
      <c r="J12" s="9" t="inlineStr"/>
    </row>
    <row r="13" ht="20" customHeight="1">
      <c r="A13" s="3" t="inlineStr">
        <is>
          <t>AR202602011</t>
        </is>
      </c>
      <c r="B13" s="3" t="inlineStr">
        <is>
          <t>比亚迪智能制造事业部</t>
        </is>
      </c>
      <c r="C13" s="6" t="n">
        <v>46060</v>
      </c>
      <c r="D13" s="6" t="n">
        <v>46095</v>
      </c>
      <c r="E13" s="5" t="n">
        <v>145.36</v>
      </c>
      <c r="F13" s="5" t="n">
        <v>145.36</v>
      </c>
      <c r="G13" s="6" t="n">
        <v>46101</v>
      </c>
      <c r="H13" s="3" t="inlineStr">
        <is>
          <t>待验证</t>
        </is>
      </c>
      <c r="I13" s="3" t="inlineStr">
        <is>
          <t>合同约定账期</t>
        </is>
      </c>
      <c r="J13" s="3" t="inlineStr"/>
    </row>
    <row r="14" ht="20" customHeight="1">
      <c r="A14" s="9" t="inlineStr">
        <is>
          <t>AR202512012</t>
        </is>
      </c>
      <c r="B14" s="9" t="inlineStr">
        <is>
          <t>广州数科集团</t>
        </is>
      </c>
      <c r="C14" s="16" t="n">
        <v>46017</v>
      </c>
      <c r="D14" s="16" t="n">
        <v>46047</v>
      </c>
      <c r="E14" s="10" t="n">
        <v>266.8</v>
      </c>
      <c r="F14" s="10" t="n">
        <v>266.8</v>
      </c>
      <c r="G14" s="16" t="n">
        <v>46044</v>
      </c>
      <c r="H14" s="9" t="inlineStr">
        <is>
          <t>已验证</t>
        </is>
      </c>
      <c r="I14" s="9" t="inlineStr">
        <is>
          <t>合同约定账期</t>
        </is>
      </c>
      <c r="J14" s="9" t="inlineStr"/>
    </row>
    <row r="15" ht="20" customHeight="1">
      <c r="A15" s="3" t="inlineStr">
        <is>
          <t>AR202602013</t>
        </is>
      </c>
      <c r="B15" s="3" t="inlineStr">
        <is>
          <t>深圳市政务云中心</t>
        </is>
      </c>
      <c r="C15" s="6" t="n">
        <v>46054</v>
      </c>
      <c r="D15" s="6" t="n">
        <v>46119</v>
      </c>
      <c r="E15" s="5" t="n">
        <v>506.4</v>
      </c>
      <c r="F15" s="5" t="n">
        <v>506.4</v>
      </c>
      <c r="G15" s="6" t="n">
        <v>46117</v>
      </c>
      <c r="H15" s="3" t="inlineStr">
        <is>
          <t>已验证</t>
        </is>
      </c>
      <c r="I15" s="3" t="inlineStr">
        <is>
          <t>合同约定账期</t>
        </is>
      </c>
      <c r="J15" s="3" t="inlineStr"/>
    </row>
    <row r="16" ht="20" customHeight="1">
      <c r="A16" s="9" t="inlineStr">
        <is>
          <t>AR202511014</t>
        </is>
      </c>
      <c r="B16" s="9" t="inlineStr">
        <is>
          <t>招商局数字化部</t>
        </is>
      </c>
      <c r="C16" s="16" t="n">
        <v>45968</v>
      </c>
      <c r="D16" s="16" t="n">
        <v>46007</v>
      </c>
      <c r="E16" s="10" t="n">
        <v>164.38</v>
      </c>
      <c r="F16" s="10" t="n">
        <v>0</v>
      </c>
      <c r="G16" s="9" t="n"/>
      <c r="H16" s="9" t="inlineStr">
        <is>
          <t>未到账</t>
        </is>
      </c>
      <c r="I16" s="9" t="inlineStr">
        <is>
          <t>已逾期 288 天，催收中</t>
        </is>
      </c>
      <c r="J16" s="9" t="inlineStr"/>
    </row>
    <row r="17" ht="20" customHeight="1">
      <c r="A17" s="3" t="inlineStr">
        <is>
          <t>AR202606015</t>
        </is>
      </c>
      <c r="B17" s="3" t="inlineStr">
        <is>
          <t>比亚迪智能制造事业部</t>
        </is>
      </c>
      <c r="C17" s="6" t="n">
        <v>46195</v>
      </c>
      <c r="D17" s="6" t="n">
        <v>46258</v>
      </c>
      <c r="E17" s="5" t="n">
        <v>608.53</v>
      </c>
      <c r="F17" s="5" t="n">
        <v>608.53</v>
      </c>
      <c r="G17" s="6" t="n">
        <v>46256</v>
      </c>
      <c r="H17" s="3" t="inlineStr">
        <is>
          <t>已验证</t>
        </is>
      </c>
      <c r="I17" s="3" t="inlineStr">
        <is>
          <t>合同约定账期</t>
        </is>
      </c>
      <c r="J17" s="3" t="inlineStr"/>
    </row>
    <row r="18" ht="20" customHeight="1">
      <c r="A18" s="9" t="inlineStr">
        <is>
          <t>AR202609016</t>
        </is>
      </c>
      <c r="B18" s="9" t="inlineStr">
        <is>
          <t>广州数科集团</t>
        </is>
      </c>
      <c r="C18" s="16" t="n">
        <v>46280</v>
      </c>
      <c r="D18" s="16" t="n">
        <v>46327</v>
      </c>
      <c r="E18" s="10" t="n">
        <v>490</v>
      </c>
      <c r="F18" s="10" t="n">
        <v>0</v>
      </c>
      <c r="G18" s="9" t="n"/>
      <c r="H18" s="9" t="inlineStr">
        <is>
          <t>待验证</t>
        </is>
      </c>
      <c r="I18" s="9" t="inlineStr">
        <is>
          <t>合同约定账期</t>
        </is>
      </c>
      <c r="J18" s="9" t="inlineStr"/>
    </row>
    <row r="19" ht="20" customHeight="1">
      <c r="A19" s="3" t="inlineStr">
        <is>
          <t>AR202609017</t>
        </is>
      </c>
      <c r="B19" s="3" t="inlineStr">
        <is>
          <t>深圳市政务云中心</t>
        </is>
      </c>
      <c r="C19" s="6" t="n">
        <v>46274</v>
      </c>
      <c r="D19" s="6" t="n">
        <v>46327</v>
      </c>
      <c r="E19" s="5" t="n">
        <v>338.74</v>
      </c>
      <c r="F19" s="5" t="n">
        <v>0</v>
      </c>
      <c r="G19" s="3" t="n"/>
      <c r="H19" s="3" t="inlineStr">
        <is>
          <t>待验证</t>
        </is>
      </c>
      <c r="I19" s="3" t="inlineStr">
        <is>
          <t>合同约定账期</t>
        </is>
      </c>
      <c r="J19" s="3" t="inlineStr"/>
    </row>
    <row r="20" ht="20" customHeight="1">
      <c r="A20" s="9" t="inlineStr">
        <is>
          <t>AR202608018</t>
        </is>
      </c>
      <c r="B20" s="9" t="inlineStr">
        <is>
          <t>招商局数字化部</t>
        </is>
      </c>
      <c r="C20" s="16" t="n">
        <v>46245</v>
      </c>
      <c r="D20" s="16" t="n">
        <v>46303</v>
      </c>
      <c r="E20" s="10" t="n">
        <v>661.17</v>
      </c>
      <c r="F20" s="10" t="n">
        <v>0</v>
      </c>
      <c r="G20" s="9" t="n"/>
      <c r="H20" s="9" t="inlineStr">
        <is>
          <t>待验证</t>
        </is>
      </c>
      <c r="I20" s="9" t="inlineStr">
        <is>
          <t>合同约定账期</t>
        </is>
      </c>
      <c r="J20" s="9" t="inlineStr"/>
    </row>
    <row r="21" ht="20" customHeight="1">
      <c r="A21" s="3" t="inlineStr">
        <is>
          <t>AR202609019</t>
        </is>
      </c>
      <c r="B21" s="3" t="inlineStr">
        <is>
          <t>比亚迪智能制造事业部</t>
        </is>
      </c>
      <c r="C21" s="6" t="n">
        <v>46281</v>
      </c>
      <c r="D21" s="6" t="n">
        <v>46345</v>
      </c>
      <c r="E21" s="5" t="n">
        <v>310.38</v>
      </c>
      <c r="F21" s="5" t="n">
        <v>0</v>
      </c>
      <c r="G21" s="3" t="n"/>
      <c r="H21" s="3" t="inlineStr">
        <is>
          <t>待验证</t>
        </is>
      </c>
      <c r="I21" s="3" t="inlineStr">
        <is>
          <t>合同约定账期</t>
        </is>
      </c>
      <c r="J21" s="3" t="inlineStr"/>
    </row>
    <row r="22" ht="20" customHeight="1">
      <c r="A22" s="9" t="inlineStr">
        <is>
          <t>AR202606020</t>
        </is>
      </c>
      <c r="B22" s="9" t="inlineStr">
        <is>
          <t>广州数科集团</t>
        </is>
      </c>
      <c r="C22" s="16" t="n">
        <v>46193</v>
      </c>
      <c r="D22" s="16" t="n">
        <v>46255</v>
      </c>
      <c r="E22" s="10" t="n">
        <v>477.03</v>
      </c>
      <c r="F22" s="10" t="n">
        <v>0</v>
      </c>
      <c r="G22" s="9" t="n"/>
      <c r="H22" s="9" t="inlineStr">
        <is>
          <t>未到账</t>
        </is>
      </c>
      <c r="I22" s="9" t="inlineStr">
        <is>
          <t>已逾期 40 天，催收中</t>
        </is>
      </c>
      <c r="J22" s="9" t="inlineStr"/>
    </row>
    <row r="23" ht="20" customHeight="1">
      <c r="A23" s="3" t="inlineStr">
        <is>
          <t>AR202608021</t>
        </is>
      </c>
      <c r="B23" s="3" t="inlineStr">
        <is>
          <t>深圳市政务云中心</t>
        </is>
      </c>
      <c r="C23" s="6" t="n">
        <v>46256</v>
      </c>
      <c r="D23" s="6" t="n">
        <v>46299</v>
      </c>
      <c r="E23" s="5" t="n">
        <v>687.99</v>
      </c>
      <c r="F23" s="5" t="n">
        <v>0</v>
      </c>
      <c r="G23" s="3" t="n"/>
      <c r="H23" s="3" t="inlineStr">
        <is>
          <t>待验证</t>
        </is>
      </c>
      <c r="I23" s="3" t="inlineStr">
        <is>
          <t>合同约定账期</t>
        </is>
      </c>
      <c r="J23" s="3" t="inlineStr"/>
    </row>
    <row r="24" ht="20" customHeight="1">
      <c r="A24" s="9" t="inlineStr">
        <is>
          <t>AR202512022</t>
        </is>
      </c>
      <c r="B24" s="9" t="inlineStr">
        <is>
          <t>招商局数字化部</t>
        </is>
      </c>
      <c r="C24" s="16" t="n">
        <v>45994</v>
      </c>
      <c r="D24" s="16" t="n">
        <v>46034</v>
      </c>
      <c r="E24" s="10" t="n">
        <v>452.14</v>
      </c>
      <c r="F24" s="10" t="n">
        <v>299.68</v>
      </c>
      <c r="G24" s="16" t="n">
        <v>46055</v>
      </c>
      <c r="H24" s="9" t="inlineStr">
        <is>
          <t>部分到账</t>
        </is>
      </c>
      <c r="I24" s="9" t="inlineStr">
        <is>
          <t>尾款未清</t>
        </is>
      </c>
      <c r="J24" s="9" t="inlineStr"/>
    </row>
    <row r="25" ht="20" customHeight="1">
      <c r="A25" s="3" t="inlineStr">
        <is>
          <t>AR202609023</t>
        </is>
      </c>
      <c r="B25" s="3" t="inlineStr">
        <is>
          <t>比亚迪智能制造事业部</t>
        </is>
      </c>
      <c r="C25" s="6" t="n">
        <v>46271</v>
      </c>
      <c r="D25" s="6" t="n">
        <v>46302</v>
      </c>
      <c r="E25" s="5" t="n">
        <v>307.16</v>
      </c>
      <c r="F25" s="5" t="n">
        <v>0</v>
      </c>
      <c r="G25" s="3" t="n"/>
      <c r="H25" s="3" t="inlineStr">
        <is>
          <t>待验证</t>
        </is>
      </c>
      <c r="I25" s="3" t="inlineStr">
        <is>
          <t>合同约定账期</t>
        </is>
      </c>
      <c r="J25" s="3" t="inlineStr"/>
    </row>
    <row r="26" ht="20" customHeight="1">
      <c r="A26" s="9" t="inlineStr">
        <is>
          <t>AR202602024</t>
        </is>
      </c>
      <c r="B26" s="9" t="inlineStr">
        <is>
          <t>广州数科集团</t>
        </is>
      </c>
      <c r="C26" s="16" t="n">
        <v>46070</v>
      </c>
      <c r="D26" s="16" t="n">
        <v>46133</v>
      </c>
      <c r="E26" s="10" t="n">
        <v>480.75</v>
      </c>
      <c r="F26" s="10" t="n">
        <v>480.75</v>
      </c>
      <c r="G26" s="16" t="n">
        <v>46136</v>
      </c>
      <c r="H26" s="9" t="inlineStr">
        <is>
          <t>已验证</t>
        </is>
      </c>
      <c r="I26" s="9" t="inlineStr">
        <is>
          <t>合同约定账期</t>
        </is>
      </c>
      <c r="J26" s="9" t="inlineStr"/>
    </row>
  </sheetData>
  <autoFilter ref="A2:J26"/>
  <mergeCells count="1">
    <mergeCell ref="A1:J1"/>
  </mergeCells>
  <conditionalFormatting sqref="H3:H26">
    <cfRule type="expression" priority="1" dxfId="0">
      <formula>$H3="未到账"</formula>
    </cfRule>
    <cfRule type="expression" priority="2" dxfId="1">
      <formula>$H3="部分到账"</formula>
    </cfRule>
    <cfRule type="expression" priority="3" dxfId="2">
      <formula>$H3="已验证"</formula>
    </cfRule>
    <cfRule type="expression" priority="4" dxfId="1">
      <formula>$H3="待验证"</formula>
    </cfRule>
  </conditionalFormatting>
  <conditionalFormatting sqref="A3:J26">
    <cfRule type="expression" priority="5" dxfId="5">
      <formula>AND($D3&lt;TODAY(), $H3="未到账")</formula>
    </cfRule>
  </conditionalFormatting>
  <conditionalFormatting sqref="F3:F26">
    <cfRule type="expression" priority="6" dxfId="3">
      <formula>AND(ISNUMBER($E3), ISNUMBER($F3), $F3&gt;$E3)</formula>
    </cfRule>
  </conditionalFormatting>
  <conditionalFormatting sqref="E3:E26">
    <cfRule type="cellIs" priority="7" operator="less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34" customWidth="1" min="4" max="4"/>
    <col width="14" customWidth="1" min="5" max="5"/>
  </cols>
  <sheetData>
    <row r="1">
      <c r="A1" s="1" t="inlineStr">
        <is>
          <t>科技服务业｜筹资与授信信息</t>
        </is>
      </c>
    </row>
    <row r="2" ht="30" customHeight="1">
      <c r="A2" s="2" t="inlineStr">
        <is>
          <t>融资类型</t>
        </is>
      </c>
      <c r="B2" s="2" t="inlineStr">
        <is>
          <t>机构</t>
        </is>
      </c>
      <c r="C2" s="2" t="inlineStr">
        <is>
          <t>金额/额度（万元）</t>
        </is>
      </c>
      <c r="D2" s="2" t="inlineStr">
        <is>
          <t>条件说明</t>
        </is>
      </c>
      <c r="E2" s="2" t="inlineStr">
        <is>
          <t>到期日</t>
        </is>
      </c>
    </row>
    <row r="3" ht="20" customHeight="1">
      <c r="A3" s="3" t="inlineStr">
        <is>
          <t>银行授信额度</t>
        </is>
      </c>
      <c r="B3" s="3" t="inlineStr">
        <is>
          <t>招商银行郑州/深圳分行</t>
        </is>
      </c>
      <c r="C3" s="5" t="n">
        <v>1364</v>
      </c>
      <c r="D3" s="3" t="inlineStr">
        <is>
          <t>综合授信，可循环使用</t>
        </is>
      </c>
      <c r="E3" s="6" t="n">
        <v>46387</v>
      </c>
    </row>
    <row r="4" ht="20" customHeight="1">
      <c r="A4" s="9" t="inlineStr">
        <is>
          <t>银行授信额度</t>
        </is>
      </c>
      <c r="B4" s="9" t="inlineStr">
        <is>
          <t>中国银行补充授信</t>
        </is>
      </c>
      <c r="C4" s="10" t="n">
        <v>545.6</v>
      </c>
      <c r="D4" s="9" t="inlineStr">
        <is>
          <t>需抵押</t>
        </is>
      </c>
      <c r="E4" s="16" t="n">
        <v>46387</v>
      </c>
    </row>
    <row r="5" ht="20" customHeight="1">
      <c r="A5" s="3" t="inlineStr">
        <is>
          <t>流动资金贷款</t>
        </is>
      </c>
      <c r="B5" s="3" t="inlineStr">
        <is>
          <t>招商银行</t>
        </is>
      </c>
      <c r="C5" s="5" t="n">
        <v>818.4</v>
      </c>
      <c r="D5" s="3" t="inlineStr">
        <is>
          <t>年利率 3.85%</t>
        </is>
      </c>
      <c r="E5" s="6" t="n">
        <v>47299</v>
      </c>
    </row>
    <row r="6" ht="20" customHeight="1">
      <c r="A6" s="9" t="inlineStr">
        <is>
          <t>股权融资</t>
        </is>
      </c>
      <c r="B6" s="9" t="inlineStr">
        <is>
          <t>深创投 A 轮</t>
        </is>
      </c>
      <c r="C6" s="10" t="n">
        <v>3000</v>
      </c>
      <c r="D6" s="9" t="inlineStr">
        <is>
          <t>已到账，不占用授信</t>
        </is>
      </c>
      <c r="E6" s="16" t="n">
        <v>46022</v>
      </c>
    </row>
    <row r="7" ht="20" customHeight="1">
      <c r="A7" s="3" t="inlineStr">
        <is>
          <t>政府科技补贴</t>
        </is>
      </c>
      <c r="B7" s="3" t="inlineStr">
        <is>
          <t>深圳市科创委</t>
        </is>
      </c>
      <c r="C7" s="5" t="n">
        <v>180</v>
      </c>
      <c r="D7" s="3" t="inlineStr">
        <is>
          <t>专款专用</t>
        </is>
      </c>
      <c r="E7" s="6" t="n">
        <v>46203</v>
      </c>
    </row>
    <row r="8" ht="20" customHeight="1">
      <c r="A8" s="9" t="inlineStr">
        <is>
          <t>还款计划</t>
        </is>
      </c>
      <c r="B8" s="9" t="inlineStr">
        <is>
          <t>招商银行</t>
        </is>
      </c>
      <c r="C8" s="10" t="n">
        <v>102.3</v>
      </c>
      <c r="D8" s="9" t="inlineStr">
        <is>
          <t>每月等额还款</t>
        </is>
      </c>
      <c r="E8" s="16" t="n">
        <v>46326</v>
      </c>
    </row>
  </sheetData>
  <autoFilter ref="A2:E8"/>
  <mergeCells count="1">
    <mergeCell ref="A1:E1"/>
  </mergeCells>
  <conditionalFormatting sqref="A3:E8">
    <cfRule type="expression" priority="1" dxfId="4">
      <formula>ISBLANK(A3)</formula>
    </cfRule>
  </conditionalFormatting>
  <conditionalFormatting sqref="B3:B8">
    <cfRule type="cellIs" priority="2" operator="lessThan" dxfId="3">
      <formula>0</formula>
    </cfRule>
  </conditionalFormatting>
  <conditionalFormatting sqref="C3:C8">
    <cfRule type="cellIs" priority="3" operator="lessThan" dxfId="3">
      <formula>0</formula>
    </cfRule>
  </conditionalFormatting>
  <conditionalFormatting sqref="D3:D8">
    <cfRule type="cellIs" priority="4" operator="lessThan" dxfId="3">
      <formula>0</formula>
    </cfRule>
  </conditionalFormatting>
  <conditionalFormatting sqref="E3:E8">
    <cfRule type="cellIs" priority="5" operator="lessThan" dxfId="3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2" customWidth="1" min="5" max="5"/>
    <col width="20" customWidth="1" min="6" max="6"/>
  </cols>
  <sheetData>
    <row r="1">
      <c r="A1" s="1" t="inlineStr">
        <is>
          <t>科技服务业｜投资现金流</t>
        </is>
      </c>
    </row>
    <row r="2" ht="30" customHeight="1">
      <c r="A2" s="2" t="inlineStr">
        <is>
          <t>项目</t>
        </is>
      </c>
      <c r="B2" s="2" t="inlineStr">
        <is>
          <t>类型</t>
        </is>
      </c>
      <c r="C2" s="2" t="inlineStr">
        <is>
          <t>发生/计划日期</t>
        </is>
      </c>
      <c r="D2" s="2" t="inlineStr">
        <is>
          <t>金额（万元，支出为负）</t>
        </is>
      </c>
      <c r="E2" s="2" t="inlineStr">
        <is>
          <t>状态</t>
        </is>
      </c>
      <c r="F2" s="2" t="inlineStr">
        <is>
          <t>备注</t>
        </is>
      </c>
    </row>
    <row r="3" ht="20" customHeight="1">
      <c r="A3" s="3" t="inlineStr">
        <is>
          <t>服务器与云资源预付</t>
        </is>
      </c>
      <c r="B3" s="3" t="inlineStr">
        <is>
          <t>资本支出</t>
        </is>
      </c>
      <c r="C3" s="6" t="n">
        <v>46053</v>
      </c>
      <c r="D3" s="5" t="n">
        <v>-280</v>
      </c>
      <c r="E3" s="3" t="inlineStr">
        <is>
          <t>已支付</t>
        </is>
      </c>
      <c r="F3" s="3" t="inlineStr"/>
    </row>
    <row r="4" ht="20" customHeight="1">
      <c r="A4" s="9" t="inlineStr">
        <is>
          <t>研发设备采购</t>
        </is>
      </c>
      <c r="B4" s="9" t="inlineStr">
        <is>
          <t>资本支出</t>
        </is>
      </c>
      <c r="C4" s="16" t="n">
        <v>46203</v>
      </c>
      <c r="D4" s="10" t="n">
        <v>-95</v>
      </c>
      <c r="E4" s="9" t="inlineStr">
        <is>
          <t>已支付</t>
        </is>
      </c>
      <c r="F4" s="9" t="inlineStr"/>
    </row>
    <row r="5" ht="20" customHeight="1">
      <c r="A5" s="3" t="inlineStr">
        <is>
          <t>旧服务器处置</t>
        </is>
      </c>
      <c r="B5" s="3" t="inlineStr">
        <is>
          <t>资产处置</t>
        </is>
      </c>
      <c r="C5" s="6" t="n">
        <v>46285</v>
      </c>
      <c r="D5" s="5" t="n">
        <v>12</v>
      </c>
      <c r="E5" s="3" t="inlineStr">
        <is>
          <t>已完成</t>
        </is>
      </c>
      <c r="F5" s="3" t="inlineStr"/>
    </row>
  </sheetData>
  <autoFilter ref="A2:F5"/>
  <mergeCells count="1">
    <mergeCell ref="A1:F1"/>
  </mergeCells>
  <conditionalFormatting sqref="A3:F5">
    <cfRule type="expression" priority="1" dxfId="4">
      <formula>ISBLANK(A3)</formula>
    </cfRule>
  </conditionalFormatting>
  <conditionalFormatting sqref="B3:B5">
    <cfRule type="cellIs" priority="2" operator="lessThan" dxfId="3">
      <formula>0</formula>
    </cfRule>
  </conditionalFormatting>
  <conditionalFormatting sqref="C3:C5">
    <cfRule type="cellIs" priority="3" operator="lessThan" dxfId="3">
      <formula>0</formula>
    </cfRule>
  </conditionalFormatting>
  <conditionalFormatting sqref="D3:D5">
    <cfRule type="cellIs" priority="4" operator="lessThan" dxfId="3">
      <formula>0</formula>
    </cfRule>
  </conditionalFormatting>
  <conditionalFormatting sqref="E3:E5">
    <cfRule type="cellIs" priority="5" operator="lessThan" dxfId="3">
      <formula>0</formula>
    </cfRule>
  </conditionalFormatting>
  <conditionalFormatting sqref="F3:F5">
    <cfRule type="cellIs" priority="6" operator="lessThan" dxfId="3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2" customWidth="1" min="4" max="4"/>
    <col width="14" customWidth="1" min="5" max="5"/>
    <col width="22" customWidth="1" min="6" max="6"/>
  </cols>
  <sheetData>
    <row r="1">
      <c r="A1" s="1" t="inlineStr">
        <is>
          <t>科技服务业｜银行流水（与应收账款勾稽）</t>
        </is>
      </c>
    </row>
    <row r="2" ht="30" customHeight="1">
      <c r="A2" s="2" t="inlineStr">
        <is>
          <t>到账日期</t>
        </is>
      </c>
      <c r="B2" s="2" t="inlineStr">
        <is>
          <t>付款方</t>
        </is>
      </c>
      <c r="C2" s="2" t="inlineStr">
        <is>
          <t>到账金额（万元）</t>
        </is>
      </c>
      <c r="D2" s="2" t="inlineStr">
        <is>
          <t>用途</t>
        </is>
      </c>
      <c r="E2" s="2" t="inlineStr">
        <is>
          <t>关联单据号</t>
        </is>
      </c>
      <c r="F2" s="2" t="inlineStr">
        <is>
          <t>验证方式</t>
        </is>
      </c>
    </row>
    <row r="3" ht="20" customHeight="1">
      <c r="A3" s="6" t="n">
        <v>46280</v>
      </c>
      <c r="B3" s="3" t="inlineStr">
        <is>
          <t>深圳市政务云中心</t>
        </is>
      </c>
      <c r="C3" s="5" t="n">
        <v>349.23</v>
      </c>
      <c r="D3" s="3" t="inlineStr">
        <is>
          <t>货款</t>
        </is>
      </c>
      <c r="E3" s="3" t="inlineStr">
        <is>
          <t>AR202607001</t>
        </is>
      </c>
      <c r="F3" s="3" t="inlineStr">
        <is>
          <t>凭证上传-待抽检</t>
        </is>
      </c>
    </row>
    <row r="4" ht="20" customHeight="1">
      <c r="A4" s="16" t="n">
        <v>46188</v>
      </c>
      <c r="B4" s="9" t="inlineStr">
        <is>
          <t>招商局数字化部</t>
        </is>
      </c>
      <c r="C4" s="10" t="n">
        <v>161.76</v>
      </c>
      <c r="D4" s="9" t="inlineStr">
        <is>
          <t>货款</t>
        </is>
      </c>
      <c r="E4" s="9" t="inlineStr">
        <is>
          <t>AR202604002</t>
        </is>
      </c>
      <c r="F4" s="9" t="inlineStr">
        <is>
          <t>银企直连自动对账</t>
        </is>
      </c>
    </row>
    <row r="5" ht="20" customHeight="1">
      <c r="A5" s="6" t="n">
        <v>46254</v>
      </c>
      <c r="B5" s="3" t="inlineStr">
        <is>
          <t>广州数科集团</t>
        </is>
      </c>
      <c r="C5" s="5" t="n">
        <v>470.4</v>
      </c>
      <c r="D5" s="3" t="inlineStr">
        <is>
          <t>货款</t>
        </is>
      </c>
      <c r="E5" s="3" t="inlineStr">
        <is>
          <t>AR202606004</t>
        </is>
      </c>
      <c r="F5" s="3" t="inlineStr">
        <is>
          <t>凭证上传-待抽检</t>
        </is>
      </c>
    </row>
    <row r="6" ht="20" customHeight="1">
      <c r="A6" s="16" t="n">
        <v>46026</v>
      </c>
      <c r="B6" s="9" t="inlineStr">
        <is>
          <t>深圳市政务云中心</t>
        </is>
      </c>
      <c r="C6" s="10" t="n">
        <v>612.53</v>
      </c>
      <c r="D6" s="9" t="inlineStr">
        <is>
          <t>货款</t>
        </is>
      </c>
      <c r="E6" s="9" t="inlineStr">
        <is>
          <t>AR202511005</t>
        </is>
      </c>
      <c r="F6" s="9" t="inlineStr">
        <is>
          <t>银企直连自动对账</t>
        </is>
      </c>
    </row>
    <row r="7" ht="20" customHeight="1">
      <c r="A7" s="6" t="n">
        <v>46035</v>
      </c>
      <c r="B7" s="3" t="inlineStr">
        <is>
          <t>广州数科集团</t>
        </is>
      </c>
      <c r="C7" s="5" t="n">
        <v>619.55</v>
      </c>
      <c r="D7" s="3" t="inlineStr">
        <is>
          <t>货款</t>
        </is>
      </c>
      <c r="E7" s="3" t="inlineStr">
        <is>
          <t>AR202510008</t>
        </is>
      </c>
      <c r="F7" s="3" t="inlineStr">
        <is>
          <t>银企直连自动对账</t>
        </is>
      </c>
    </row>
    <row r="8" ht="20" customHeight="1">
      <c r="A8" s="16" t="n">
        <v>46181</v>
      </c>
      <c r="B8" s="9" t="inlineStr">
        <is>
          <t>深圳市政务云中心</t>
        </is>
      </c>
      <c r="C8" s="10" t="n">
        <v>248.55</v>
      </c>
      <c r="D8" s="9" t="inlineStr">
        <is>
          <t>货款</t>
        </is>
      </c>
      <c r="E8" s="9" t="inlineStr">
        <is>
          <t>AR202604009</t>
        </is>
      </c>
      <c r="F8" s="9" t="inlineStr">
        <is>
          <t>银企直连自动对账</t>
        </is>
      </c>
    </row>
    <row r="9" ht="20" customHeight="1">
      <c r="A9" s="6" t="n">
        <v>46013</v>
      </c>
      <c r="B9" s="3" t="inlineStr">
        <is>
          <t>招商局数字化部</t>
        </is>
      </c>
      <c r="C9" s="5" t="n">
        <v>116.14</v>
      </c>
      <c r="D9" s="3" t="inlineStr">
        <is>
          <t>货款</t>
        </is>
      </c>
      <c r="E9" s="3" t="inlineStr">
        <is>
          <t>AR202511010</t>
        </is>
      </c>
      <c r="F9" s="3" t="inlineStr">
        <is>
          <t>凭证上传-待抽检</t>
        </is>
      </c>
    </row>
    <row r="10" ht="20" customHeight="1">
      <c r="A10" s="16" t="n">
        <v>46101</v>
      </c>
      <c r="B10" s="9" t="inlineStr">
        <is>
          <t>比亚迪智能制造事业部</t>
        </is>
      </c>
      <c r="C10" s="10" t="n">
        <v>145.36</v>
      </c>
      <c r="D10" s="9" t="inlineStr">
        <is>
          <t>货款</t>
        </is>
      </c>
      <c r="E10" s="9" t="inlineStr">
        <is>
          <t>AR202602011</t>
        </is>
      </c>
      <c r="F10" s="9" t="inlineStr">
        <is>
          <t>银企直连自动对账</t>
        </is>
      </c>
    </row>
    <row r="11" ht="20" customHeight="1">
      <c r="A11" s="6" t="n">
        <v>46044</v>
      </c>
      <c r="B11" s="3" t="inlineStr">
        <is>
          <t>广州数科集团</t>
        </is>
      </c>
      <c r="C11" s="5" t="n">
        <v>266.8</v>
      </c>
      <c r="D11" s="3" t="inlineStr">
        <is>
          <t>货款</t>
        </is>
      </c>
      <c r="E11" s="3" t="inlineStr">
        <is>
          <t>AR202512012</t>
        </is>
      </c>
      <c r="F11" s="3" t="inlineStr">
        <is>
          <t>银企直连自动对账</t>
        </is>
      </c>
    </row>
    <row r="12" ht="20" customHeight="1">
      <c r="A12" s="16" t="n">
        <v>46117</v>
      </c>
      <c r="B12" s="9" t="inlineStr">
        <is>
          <t>深圳市政务云中心</t>
        </is>
      </c>
      <c r="C12" s="10" t="n">
        <v>506.4</v>
      </c>
      <c r="D12" s="9" t="inlineStr">
        <is>
          <t>货款</t>
        </is>
      </c>
      <c r="E12" s="9" t="inlineStr">
        <is>
          <t>AR202602013</t>
        </is>
      </c>
      <c r="F12" s="9" t="inlineStr">
        <is>
          <t>凭证上传-待抽检</t>
        </is>
      </c>
    </row>
    <row r="13" ht="20" customHeight="1">
      <c r="A13" s="6" t="n">
        <v>46256</v>
      </c>
      <c r="B13" s="3" t="inlineStr">
        <is>
          <t>比亚迪智能制造事业部</t>
        </is>
      </c>
      <c r="C13" s="5" t="n">
        <v>608.53</v>
      </c>
      <c r="D13" s="3" t="inlineStr">
        <is>
          <t>货款</t>
        </is>
      </c>
      <c r="E13" s="3" t="inlineStr">
        <is>
          <t>AR202606015</t>
        </is>
      </c>
      <c r="F13" s="3" t="inlineStr">
        <is>
          <t>银企直连自动对账</t>
        </is>
      </c>
    </row>
    <row r="14" ht="20" customHeight="1">
      <c r="A14" s="16" t="n">
        <v>46055</v>
      </c>
      <c r="B14" s="9" t="inlineStr">
        <is>
          <t>招商局数字化部</t>
        </is>
      </c>
      <c r="C14" s="10" t="n">
        <v>299.68</v>
      </c>
      <c r="D14" s="9" t="inlineStr">
        <is>
          <t>货款</t>
        </is>
      </c>
      <c r="E14" s="9" t="inlineStr">
        <is>
          <t>AR202512022</t>
        </is>
      </c>
      <c r="F14" s="9" t="inlineStr">
        <is>
          <t>凭证上传-待抽检</t>
        </is>
      </c>
    </row>
    <row r="15" ht="20" customHeight="1">
      <c r="A15" s="6" t="n">
        <v>46136</v>
      </c>
      <c r="B15" s="3" t="inlineStr">
        <is>
          <t>广州数科集团</t>
        </is>
      </c>
      <c r="C15" s="5" t="n">
        <v>480.75</v>
      </c>
      <c r="D15" s="3" t="inlineStr">
        <is>
          <t>货款</t>
        </is>
      </c>
      <c r="E15" s="3" t="inlineStr">
        <is>
          <t>AR202602024</t>
        </is>
      </c>
      <c r="F15" s="3" t="inlineStr">
        <is>
          <t>银企直连自动对账</t>
        </is>
      </c>
    </row>
  </sheetData>
  <autoFilter ref="A2:F15"/>
  <mergeCells count="1">
    <mergeCell ref="A1:F1"/>
  </mergeCells>
  <conditionalFormatting sqref="A3:F15">
    <cfRule type="expression" priority="1" dxfId="4">
      <formula>ISBLANK(A3)</formula>
    </cfRule>
  </conditionalFormatting>
  <conditionalFormatting sqref="B3:B15">
    <cfRule type="cellIs" priority="2" operator="lessThan" dxfId="3">
      <formula>0</formula>
    </cfRule>
  </conditionalFormatting>
  <conditionalFormatting sqref="C3:C15">
    <cfRule type="cellIs" priority="3" operator="lessThan" dxfId="3">
      <formula>0</formula>
    </cfRule>
  </conditionalFormatting>
  <conditionalFormatting sqref="D3:D15">
    <cfRule type="cellIs" priority="4" operator="lessThan" dxfId="3">
      <formula>0</formula>
    </cfRule>
  </conditionalFormatting>
  <conditionalFormatting sqref="E3:E15">
    <cfRule type="cellIs" priority="5" operator="lessThan" dxfId="3">
      <formula>0</formula>
    </cfRule>
  </conditionalFormatting>
  <conditionalFormatting sqref="F3:F15">
    <cfRule type="cellIs" priority="6" operator="lessThan" dxfId="3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8" customWidth="1" min="5" max="5"/>
    <col width="18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  <col width="22" customWidth="1" min="12" max="12"/>
    <col width="22" customWidth="1" min="13" max="13"/>
  </cols>
  <sheetData>
    <row r="1">
      <c r="A1" s="1" t="inlineStr">
        <is>
          <t>四大行业参数模板（v8 相对指标版，来源于 docs/行业参数模板_相对指标版_v8.md）</t>
        </is>
      </c>
    </row>
    <row r="2" ht="30" customHeight="1">
      <c r="A2" s="2" t="inlineStr">
        <is>
          <t>行业</t>
        </is>
      </c>
      <c r="B2" s="2" t="inlineStr">
        <is>
          <t>行业代码</t>
        </is>
      </c>
      <c r="C2" s="2" t="inlineStr">
        <is>
          <t>K黄（×M）</t>
        </is>
      </c>
      <c r="D2" s="2" t="inlineStr">
        <is>
          <t>K红（×M）</t>
        </is>
      </c>
      <c r="E2" s="2" t="inlineStr">
        <is>
          <t>时间缓冲黄灯（天）</t>
        </is>
      </c>
      <c r="F2" s="2" t="inlineStr">
        <is>
          <t>时间缓冲红灯（天）</t>
        </is>
      </c>
      <c r="G2" s="2" t="inlineStr">
        <is>
          <t>应收周转天数基准</t>
        </is>
      </c>
      <c r="H2" s="2" t="inlineStr">
        <is>
          <t>存货周转天数基准</t>
        </is>
      </c>
      <c r="I2" s="2" t="inlineStr">
        <is>
          <t>流动比率基准</t>
        </is>
      </c>
      <c r="J2" s="2" t="inlineStr">
        <is>
          <t>资产负债率警戒线</t>
        </is>
      </c>
      <c r="K2" s="2" t="inlineStr">
        <is>
          <t>基准企业 M（万元）</t>
        </is>
      </c>
      <c r="L2" s="2" t="inlineStr">
        <is>
          <t>黄灯折算金额（万元，仅参考）</t>
        </is>
      </c>
      <c r="M2" s="2" t="inlineStr">
        <is>
          <t>红灯折算金额（万元，仅参考）</t>
        </is>
      </c>
    </row>
    <row r="3" ht="20" customHeight="1">
      <c r="A3" s="3" t="inlineStr">
        <is>
          <t>制造业</t>
        </is>
      </c>
      <c r="B3" s="3" t="inlineStr">
        <is>
          <t>C13</t>
        </is>
      </c>
      <c r="C3" s="5" t="n">
        <v>1.5</v>
      </c>
      <c r="D3" s="5" t="n">
        <v>1</v>
      </c>
      <c r="E3" s="5" t="n">
        <v>45</v>
      </c>
      <c r="F3" s="5" t="n">
        <v>25</v>
      </c>
      <c r="G3" s="5" t="n">
        <v>60</v>
      </c>
      <c r="H3" s="5" t="n">
        <v>90</v>
      </c>
      <c r="I3" s="5" t="n">
        <v>1.5</v>
      </c>
      <c r="J3" s="3" t="inlineStr">
        <is>
          <t>70%</t>
        </is>
      </c>
      <c r="K3" s="5" t="n">
        <v>161.2</v>
      </c>
      <c r="L3" s="5" t="n">
        <v>241.8</v>
      </c>
      <c r="M3" s="5" t="n">
        <v>161.2</v>
      </c>
    </row>
    <row r="4" ht="20" customHeight="1">
      <c r="A4" s="9" t="inlineStr">
        <is>
          <t>零售业</t>
        </is>
      </c>
      <c r="B4" s="9" t="inlineStr">
        <is>
          <t>F52</t>
        </is>
      </c>
      <c r="C4" s="10" t="n">
        <v>1.2</v>
      </c>
      <c r="D4" s="10" t="n">
        <v>0.6</v>
      </c>
      <c r="E4" s="10" t="n">
        <v>30</v>
      </c>
      <c r="F4" s="10" t="n">
        <v>15</v>
      </c>
      <c r="G4" s="10" t="n">
        <v>15</v>
      </c>
      <c r="H4" s="10" t="n">
        <v>45</v>
      </c>
      <c r="I4" s="10" t="n">
        <v>1.2</v>
      </c>
      <c r="J4" s="9" t="inlineStr">
        <is>
          <t>65%</t>
        </is>
      </c>
      <c r="K4" s="10" t="n">
        <v>80.59999999999999</v>
      </c>
      <c r="L4" s="10" t="n">
        <v>96.72</v>
      </c>
      <c r="M4" s="10" t="n">
        <v>48.36</v>
      </c>
    </row>
    <row r="5" ht="20" customHeight="1">
      <c r="A5" s="3" t="inlineStr">
        <is>
          <t>建筑业</t>
        </is>
      </c>
      <c r="B5" s="3" t="inlineStr">
        <is>
          <t>E48</t>
        </is>
      </c>
      <c r="C5" s="5" t="n">
        <v>1.8</v>
      </c>
      <c r="D5" s="5" t="n">
        <v>1.2</v>
      </c>
      <c r="E5" s="5" t="n">
        <v>60</v>
      </c>
      <c r="F5" s="5" t="n">
        <v>30</v>
      </c>
      <c r="G5" s="5" t="n">
        <v>120</v>
      </c>
      <c r="H5" s="5" t="n">
        <v>180</v>
      </c>
      <c r="I5" s="5" t="n">
        <v>1.8</v>
      </c>
      <c r="J5" s="3" t="inlineStr">
        <is>
          <t>80%</t>
        </is>
      </c>
      <c r="K5" s="5" t="n">
        <v>235.6</v>
      </c>
      <c r="L5" s="5" t="n">
        <v>424.08</v>
      </c>
      <c r="M5" s="5" t="n">
        <v>282.72</v>
      </c>
    </row>
    <row r="6" ht="20" customHeight="1">
      <c r="A6" s="9" t="inlineStr">
        <is>
          <t>科技服务业</t>
        </is>
      </c>
      <c r="B6" s="9" t="inlineStr">
        <is>
          <t>I65</t>
        </is>
      </c>
      <c r="C6" s="10" t="n">
        <v>1</v>
      </c>
      <c r="D6" s="10" t="n">
        <v>0.5</v>
      </c>
      <c r="E6" s="10" t="n">
        <v>20</v>
      </c>
      <c r="F6" s="10" t="n">
        <v>10</v>
      </c>
      <c r="G6" s="10" t="n">
        <v>45</v>
      </c>
      <c r="H6" s="10" t="n">
        <v>30</v>
      </c>
      <c r="I6" s="10" t="n">
        <v>2</v>
      </c>
      <c r="J6" s="9" t="inlineStr">
        <is>
          <t>55%</t>
        </is>
      </c>
      <c r="K6" s="10" t="n">
        <v>65.09999999999999</v>
      </c>
      <c r="L6" s="10" t="n">
        <v>65.09999999999999</v>
      </c>
      <c r="M6" s="10" t="n">
        <v>32.55</v>
      </c>
    </row>
    <row r="7" ht="20" customHeight="1"/>
    <row r="8" ht="20" customHeight="1">
      <c r="A8" s="17" t="inlineStr">
        <is>
          <t>注：本表为 Demo 常量快照，生产环境应从「行业参数模板库」读取，禁止硬编码。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</row>
  </sheetData>
  <autoFilter ref="A2:M8"/>
  <mergeCells count="1">
    <mergeCell ref="A1:M1"/>
  </mergeCells>
  <conditionalFormatting sqref="C3:D8">
    <cfRule type="expression" priority="1" dxfId="0">
      <formula>AND(ISNUMBER($C3), $C3&gt;=1.5)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42" customWidth="1" min="4" max="4"/>
    <col width="40" customWidth="1" min="5" max="5"/>
    <col width="30" customWidth="1" min="6" max="6"/>
  </cols>
  <sheetData>
    <row r="1">
      <c r="A1" s="1" t="inlineStr">
        <is>
          <t>科技服务业｜故意错误清单（共 4 处）</t>
        </is>
      </c>
    </row>
    <row r="2" ht="30" customHeight="1">
      <c r="A2" s="2" t="inlineStr">
        <is>
          <t>错误编号</t>
        </is>
      </c>
      <c r="B2" s="2" t="inlineStr">
        <is>
          <t>所在 Sheet</t>
        </is>
      </c>
      <c r="C2" s="2" t="inlineStr">
        <is>
          <t>位置</t>
        </is>
      </c>
      <c r="D2" s="2" t="inlineStr">
        <is>
          <t>错误描述</t>
        </is>
      </c>
      <c r="E2" s="2" t="inlineStr">
        <is>
          <t>触发校验规则</t>
        </is>
      </c>
      <c r="F2" s="2" t="inlineStr">
        <is>
          <t>演示用途</t>
        </is>
      </c>
    </row>
    <row r="3" ht="20" customHeight="1">
      <c r="A3" s="3" t="inlineStr">
        <is>
          <t>E1</t>
        </is>
      </c>
      <c r="B3" s="3" t="inlineStr">
        <is>
          <t>企业基本信息</t>
        </is>
      </c>
      <c r="C3" s="3" t="inlineStr">
        <is>
          <t>B7 上年度营业收入=-6200</t>
        </is>
      </c>
      <c r="D3" s="3" t="inlineStr">
        <is>
          <t>规模合理性校验判为「异常」</t>
        </is>
      </c>
      <c r="E3" s="3" t="inlineStr">
        <is>
          <t>IF(OR(营收&lt;0, 人数&lt;1),"异常","OK")</t>
        </is>
      </c>
      <c r="F3" s="3" t="inlineStr">
        <is>
          <t>演示数据闸拦截「营收&lt;0」</t>
        </is>
      </c>
    </row>
    <row r="4" ht="20" customHeight="1">
      <c r="A4" s="9" t="inlineStr">
        <is>
          <t>E8</t>
        </is>
      </c>
      <c r="B4" s="9" t="inlineStr">
        <is>
          <t>现金流水</t>
        </is>
      </c>
      <c r="C4" s="9" t="inlineStr">
        <is>
          <t>缺失 2025-12 整月记录</t>
        </is>
      </c>
      <c r="D4" s="9" t="inlineStr">
        <is>
          <t>月度序列断点→数据完整性校验告警</t>
        </is>
      </c>
      <c r="E4" s="9" t="inlineStr">
        <is>
          <t>月份连续性校验（相邻月份差值=1）</t>
        </is>
      </c>
      <c r="F4" s="9" t="inlineStr">
        <is>
          <t>演示缺失月份检测</t>
        </is>
      </c>
    </row>
    <row r="5" ht="20" customHeight="1">
      <c r="A5" s="3" t="inlineStr">
        <is>
          <t>E7</t>
        </is>
      </c>
      <c r="B5" s="3" t="inlineStr">
        <is>
          <t>应收账款</t>
        </is>
      </c>
      <c r="C5" s="3" t="inlineStr">
        <is>
          <t>F11 已收金额 &gt; E11 应收金额 35%</t>
        </is>
      </c>
      <c r="D5" s="3" t="inlineStr">
        <is>
          <t>到账验证：金额不符→「金额不符」</t>
        </is>
      </c>
      <c r="E5" s="3" t="inlineStr">
        <is>
          <t>到账验证：到账金额=应收金额→"已验证"，否则"金额不符"</t>
        </is>
      </c>
      <c r="F5" s="3" t="inlineStr">
        <is>
          <t>演示超收/串户核对</t>
        </is>
      </c>
    </row>
    <row r="6" ht="20" customHeight="1">
      <c r="A6" s="9" t="inlineStr">
        <is>
          <t>E6</t>
        </is>
      </c>
      <c r="B6" s="9" t="inlineStr">
        <is>
          <t>现金流水</t>
        </is>
      </c>
      <c r="C6" s="9" t="inlineStr">
        <is>
          <t>I3（数据闸结果列）为空</t>
        </is>
      </c>
      <c r="D6" s="9" t="inlineStr">
        <is>
          <t>校验结果列缺值，下游判定链会断</t>
        </is>
      </c>
      <c r="E6" s="9" t="inlineStr">
        <is>
          <t>缺失填 0：IF(ISBLANK(I4),"待校验",I4)</t>
        </is>
      </c>
      <c r="F6" s="9" t="inlineStr">
        <is>
          <t>演示空值填补</t>
        </is>
      </c>
    </row>
    <row r="7" ht="20" customHeight="1">
      <c r="A7" s="3" t="inlineStr">
        <is>
          <t>—</t>
        </is>
      </c>
      <c r="B7" s="3" t="inlineStr">
        <is>
          <t>全表</t>
        </is>
      </c>
      <c r="C7" s="3" t="inlineStr">
        <is>
          <t>字段与单位约定</t>
        </is>
      </c>
      <c r="D7" s="3" t="inlineStr">
        <is>
          <t>金额统一为万元，保留 2 位小数；日期统一 yyyy-mm-dd</t>
        </is>
      </c>
      <c r="E7" s="3" t="inlineStr">
        <is>
          <t>格式统一校验</t>
        </is>
      </c>
      <c r="F7" s="3" t="inlineStr">
        <is>
          <t>交付标准</t>
        </is>
      </c>
    </row>
  </sheetData>
  <autoFilter ref="A2:F7"/>
  <mergeCells count="1">
    <mergeCell ref="A1:F1"/>
  </mergeCells>
  <conditionalFormatting sqref="A3:A7">
    <cfRule type="expression" priority="1" dxfId="3">
      <formula>AND(LEFT($A3,1)="E", ISTEXT($A3))</formula>
    </cfRule>
  </conditionalFormatting>
  <conditionalFormatting sqref="A3:F7">
    <cfRule type="expression" priority="2" dxfId="4">
      <formula>ISNUMBER(SEARCH("演示",$F3))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2026-10-21T06:38:39Z</dcterms:created>
  <dcterms:modified xsi:type="dcterms:W3CDTF">2026-10-21T06:38:41Z</dcterms:modified>
</cp:coreProperties>
</file>